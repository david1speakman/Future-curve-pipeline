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tpicap365-my.sharepoint.com/personal/david_speakman_tpicap_com/Documents/Desktop/Agentic automation/Most.traded.curve run/Workbook/"/>
    </mc:Choice>
  </mc:AlternateContent>
  <xr:revisionPtr revIDLastSave="0" documentId="8_{6BA38E0F-0964-4362-8499-DE5ABD7DDBA7}" xr6:coauthVersionLast="47" xr6:coauthVersionMax="47" xr10:uidLastSave="{00000000-0000-0000-0000-000000000000}"/>
  <bookViews>
    <workbookView minimized="1" xWindow="2865" yWindow="4185" windowWidth="24810" windowHeight="11295" tabRatio="640" xr2:uid="{72F52E2A-BA1D-4587-977A-138946D503B1}"/>
  </bookViews>
  <sheets>
    <sheet name="Fut Flow SFR" sheetId="19" r:id="rId1"/>
    <sheet name="Fut Flow SFI" sheetId="20" r:id="rId2"/>
    <sheet name="Fut Flow ER" sheetId="16" r:id="rId3"/>
  </sheets>
  <definedNames>
    <definedName name="AI_Proxy">#REF!</definedName>
    <definedName name="BB_Dollar_Index">#REF!</definedName>
    <definedName name="Bitcoin">#REF!</definedName>
    <definedName name="Brent">#REF!</definedName>
    <definedName name="CDX_IG">#REF!</definedName>
    <definedName name="Copper">#REF!</definedName>
    <definedName name="Crude">#REF!</definedName>
    <definedName name="DCDX_HY">#REF!</definedName>
    <definedName name="Dow_Jones">#REF!</definedName>
    <definedName name="E_minis">#REF!</definedName>
    <definedName name="ER_1st">#REF!</definedName>
    <definedName name="ER_5th">#REF!</definedName>
    <definedName name="Estoxx">#REF!</definedName>
    <definedName name="EUR_Cred_IG">#REF!</definedName>
    <definedName name="EURUSD">#REF!</definedName>
    <definedName name="GBPUSD">#REF!</definedName>
    <definedName name="GE5s30s">#REF!</definedName>
    <definedName name="GER_10yr">#REF!</definedName>
    <definedName name="GER_2s10s">#REF!</definedName>
    <definedName name="GER_2yr">#REF!</definedName>
    <definedName name="GER_30yr">#REF!</definedName>
    <definedName name="GER_5yr">#REF!</definedName>
    <definedName name="Gold">#REF!</definedName>
    <definedName name="Instruments">#REF!</definedName>
    <definedName name="Italy_10yr">#REF!</definedName>
    <definedName name="KRE_Banks">#REF!</definedName>
    <definedName name="Nasdaq">#REF!</definedName>
    <definedName name="Nat_Gas">#REF!</definedName>
    <definedName name="Nikkei">#REF!</definedName>
    <definedName name="Russell">#REF!</definedName>
    <definedName name="SFI_2nd">#REF!</definedName>
    <definedName name="SFI_5th">#REF!</definedName>
    <definedName name="SFR_10th">#REF!</definedName>
    <definedName name="SFR_2nd">#REF!</definedName>
    <definedName name="SFR_5th">#REF!</definedName>
    <definedName name="SFR_6th">#REF!</definedName>
    <definedName name="Silver">#REF!</definedName>
    <definedName name="UK_10yr">#REF!</definedName>
    <definedName name="US_10yr">#REF!</definedName>
    <definedName name="US_2s10s">#REF!</definedName>
    <definedName name="US_2yr">#REF!</definedName>
    <definedName name="US_30yr">#REF!</definedName>
    <definedName name="US_3yr">#REF!</definedName>
    <definedName name="US_5s30s">#REF!</definedName>
    <definedName name="US_5Y5Y">#REF!</definedName>
    <definedName name="US_5yr">#REF!</definedName>
    <definedName name="US_7yr">#REF!</definedName>
    <definedName name="Vix">#REF!</definedName>
    <definedName name="Yen">#REF!</definedName>
    <definedName name="Z_score_20d">#REF!,#REF!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6" l="1"/>
  <c r="B23" i="16"/>
  <c r="B24" i="16"/>
  <c r="B25" i="16"/>
  <c r="B26" i="16"/>
  <c r="B27" i="16"/>
  <c r="B28" i="16"/>
  <c r="B29" i="16"/>
  <c r="B30" i="16"/>
  <c r="B31" i="16"/>
  <c r="D40" i="19" a="1"/>
  <c r="D40" i="19"/>
  <c r="H40" i="19" a="1"/>
  <c r="H40" i="19"/>
  <c r="F41" i="19" a="1"/>
  <c r="F41" i="19"/>
  <c r="G41" i="19" a="1"/>
  <c r="G41" i="19"/>
  <c r="C27" i="19" l="1"/>
  <c r="C28" i="19"/>
  <c r="C29" i="19"/>
  <c r="C30" i="19"/>
  <c r="C31" i="19"/>
  <c r="C32" i="19"/>
  <c r="C33" i="19"/>
  <c r="C34" i="19"/>
  <c r="C35" i="19"/>
  <c r="C36" i="19"/>
  <c r="I41" i="19"/>
  <c r="G40" i="19" a="1"/>
  <c r="H41" i="19" a="1"/>
  <c r="F40" i="19" a="1"/>
  <c r="D41" i="19" a="1"/>
  <c r="H41" i="19" l="1"/>
  <c r="G40" i="19"/>
  <c r="F40" i="19"/>
  <c r="D41" i="19"/>
  <c r="C41" i="19"/>
  <c r="A41" i="19" s="1"/>
  <c r="K41" i="19" a="1"/>
  <c r="L41" i="19" a="1"/>
  <c r="L41" i="19" l="1"/>
  <c r="K41" i="19"/>
  <c r="I40" i="19"/>
  <c r="C40" i="19" l="1"/>
  <c r="A40" i="19" s="1"/>
  <c r="L40" i="19" a="1"/>
  <c r="K40" i="19" a="1"/>
  <c r="K40" i="19" l="1"/>
  <c r="L40" i="19"/>
  <c r="I39" i="19"/>
  <c r="C39" i="19"/>
  <c r="A39" i="19" s="1"/>
  <c r="K39" i="19" a="1"/>
  <c r="L39" i="19" a="1"/>
  <c r="L39" i="19" l="1"/>
  <c r="K39" i="19"/>
  <c r="I38" i="19"/>
  <c r="C38" i="19"/>
  <c r="A38" i="19" s="1"/>
  <c r="K38" i="19" a="1"/>
  <c r="L38" i="19" a="1"/>
  <c r="L38" i="19" l="1"/>
  <c r="K38" i="19"/>
  <c r="C37" i="19"/>
  <c r="A37" i="19" s="1"/>
  <c r="K37" i="19" a="1"/>
  <c r="L37" i="19" a="1"/>
  <c r="L37" i="19" l="1"/>
  <c r="K37" i="19"/>
  <c r="A36" i="19"/>
  <c r="K36" i="19" a="1"/>
  <c r="L36" i="19" a="1"/>
  <c r="L36" i="19" l="1"/>
  <c r="K36" i="19"/>
  <c r="A35" i="19"/>
  <c r="L35" i="19" a="1"/>
  <c r="K35" i="19" a="1"/>
  <c r="K35" i="19" l="1"/>
  <c r="L35" i="19"/>
  <c r="A34" i="19"/>
  <c r="L34" i="19" a="1"/>
  <c r="K34" i="19" a="1"/>
  <c r="K34" i="19" l="1"/>
  <c r="L34" i="19"/>
  <c r="A33" i="19"/>
  <c r="K33" i="19" a="1"/>
  <c r="L33" i="19" a="1"/>
  <c r="L33" i="19" l="1"/>
  <c r="K33" i="19"/>
  <c r="A32" i="19"/>
  <c r="K32" i="19" a="1"/>
  <c r="L32" i="19" a="1"/>
  <c r="L32" i="19" l="1"/>
  <c r="K32" i="19"/>
  <c r="A31" i="19"/>
  <c r="K31" i="19" a="1"/>
  <c r="L31" i="19" a="1"/>
  <c r="L31" i="19" l="1"/>
  <c r="K31" i="19"/>
  <c r="A30" i="19"/>
  <c r="K30" i="19" a="1"/>
  <c r="L30" i="19" a="1"/>
  <c r="L30" i="19" l="1"/>
  <c r="K30" i="19"/>
  <c r="A29" i="19"/>
  <c r="K29" i="19" a="1"/>
  <c r="L29" i="19" a="1"/>
  <c r="L29" i="19" l="1"/>
  <c r="K29" i="19"/>
  <c r="A28" i="19"/>
  <c r="L28" i="19" a="1"/>
  <c r="K28" i="19" a="1"/>
  <c r="K28" i="19" l="1"/>
  <c r="L28" i="19"/>
  <c r="A27" i="19"/>
  <c r="O24" i="19"/>
  <c r="BD18" i="19"/>
  <c r="E41" i="19" a="1"/>
  <c r="E40" i="19" a="1"/>
  <c r="K27" i="19" a="1"/>
  <c r="L27" i="19" a="1"/>
  <c r="E40" i="19" l="1"/>
  <c r="E41" i="19"/>
  <c r="L27" i="19"/>
  <c r="K27" i="19"/>
  <c r="O18" i="19"/>
  <c r="BD17" i="19"/>
  <c r="H39" i="19" a="1"/>
  <c r="F39" i="19" a="1"/>
  <c r="G39" i="19" a="1"/>
  <c r="D39" i="19" a="1"/>
  <c r="D39" i="19" l="1"/>
  <c r="G39" i="19"/>
  <c r="F39" i="19"/>
  <c r="H39" i="19"/>
  <c r="O17" i="19"/>
  <c r="E39" i="19" a="1"/>
  <c r="G38" i="19" a="1"/>
  <c r="H38" i="19" a="1"/>
  <c r="F38" i="19" a="1"/>
  <c r="D38" i="19" a="1"/>
  <c r="E39" i="19" l="1"/>
  <c r="D38" i="19"/>
  <c r="F38" i="19"/>
  <c r="H38" i="19"/>
  <c r="G38" i="19"/>
  <c r="O16" i="19"/>
  <c r="E38" i="19" a="1"/>
  <c r="D37" i="19" a="1"/>
  <c r="G37" i="19" a="1"/>
  <c r="F37" i="19" a="1"/>
  <c r="H37" i="19" a="1"/>
  <c r="E38" i="19" l="1"/>
  <c r="D37" i="19"/>
  <c r="H37" i="19"/>
  <c r="G37" i="19"/>
  <c r="F37" i="19"/>
  <c r="E37" i="19" a="1"/>
  <c r="E37" i="19" l="1"/>
  <c r="BD16" i="19"/>
  <c r="O15" i="19"/>
  <c r="H36" i="19" a="1"/>
  <c r="F36" i="19" a="1"/>
  <c r="G36" i="19" a="1"/>
  <c r="D36" i="19" a="1"/>
  <c r="D36" i="19" l="1"/>
  <c r="G36" i="19"/>
  <c r="F36" i="19"/>
  <c r="H36" i="19"/>
  <c r="BD15" i="19"/>
  <c r="O14" i="19"/>
  <c r="E36" i="19" a="1"/>
  <c r="F35" i="19" a="1"/>
  <c r="H35" i="19" a="1"/>
  <c r="G35" i="19" a="1"/>
  <c r="D35" i="19" a="1"/>
  <c r="E36" i="19" l="1"/>
  <c r="D35" i="19"/>
  <c r="BD14" i="19" s="1"/>
  <c r="G35" i="19"/>
  <c r="H35" i="19"/>
  <c r="F35" i="19"/>
  <c r="O13" i="19"/>
  <c r="E35" i="19" a="1"/>
  <c r="F34" i="19" a="1"/>
  <c r="H34" i="19" a="1"/>
  <c r="G34" i="19" a="1"/>
  <c r="D34" i="19" a="1"/>
  <c r="E35" i="19" l="1"/>
  <c r="D34" i="19"/>
  <c r="BD13" i="19" s="1"/>
  <c r="G34" i="19"/>
  <c r="H34" i="19"/>
  <c r="F34" i="19"/>
  <c r="O12" i="19"/>
  <c r="E34" i="19" a="1"/>
  <c r="H33" i="19" a="1"/>
  <c r="F33" i="19" a="1"/>
  <c r="G33" i="19" a="1"/>
  <c r="D33" i="19" a="1"/>
  <c r="E34" i="19" l="1"/>
  <c r="D33" i="19"/>
  <c r="BD12" i="19" s="1"/>
  <c r="G33" i="19"/>
  <c r="F33" i="19"/>
  <c r="H33" i="19"/>
  <c r="O11" i="19"/>
  <c r="E33" i="19" a="1"/>
  <c r="G32" i="19" a="1"/>
  <c r="F32" i="19" a="1"/>
  <c r="H32" i="19" a="1"/>
  <c r="D32" i="19" a="1"/>
  <c r="E33" i="19" l="1"/>
  <c r="D32" i="19"/>
  <c r="BD11" i="19" s="1"/>
  <c r="H32" i="19"/>
  <c r="F32" i="19"/>
  <c r="G32" i="19"/>
  <c r="O10" i="19"/>
  <c r="E32" i="19" a="1"/>
  <c r="D31" i="19" a="1"/>
  <c r="H31" i="19" a="1"/>
  <c r="F31" i="19" a="1"/>
  <c r="G31" i="19" a="1"/>
  <c r="E32" i="19" l="1"/>
  <c r="D31" i="19"/>
  <c r="F31" i="19"/>
  <c r="G31" i="19"/>
  <c r="H31" i="19"/>
  <c r="BD10" i="19"/>
  <c r="O9" i="19"/>
  <c r="E31" i="19" a="1"/>
  <c r="H30" i="19" a="1"/>
  <c r="F30" i="19" a="1"/>
  <c r="G30" i="19" a="1"/>
  <c r="D30" i="19" a="1"/>
  <c r="E31" i="19" l="1"/>
  <c r="D30" i="19"/>
  <c r="BD9" i="19" s="1"/>
  <c r="G30" i="19"/>
  <c r="F30" i="19"/>
  <c r="H30" i="19"/>
  <c r="O8" i="19"/>
  <c r="E30" i="19" a="1"/>
  <c r="H29" i="19" a="1"/>
  <c r="F29" i="19" a="1"/>
  <c r="G29" i="19" a="1"/>
  <c r="D29" i="19" a="1"/>
  <c r="E30" i="19" l="1"/>
  <c r="D29" i="19"/>
  <c r="BD8" i="19" s="1"/>
  <c r="G29" i="19"/>
  <c r="F29" i="19"/>
  <c r="H29" i="19"/>
  <c r="O7" i="19"/>
  <c r="E29" i="19" a="1"/>
  <c r="F28" i="19" a="1"/>
  <c r="G28" i="19" a="1"/>
  <c r="H28" i="19" a="1"/>
  <c r="D28" i="19" a="1"/>
  <c r="E29" i="19" l="1"/>
  <c r="D28" i="19"/>
  <c r="BD7" i="19" s="1"/>
  <c r="H28" i="19"/>
  <c r="G28" i="19"/>
  <c r="F28" i="19"/>
  <c r="O6" i="19"/>
  <c r="BC5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E28" i="19" a="1"/>
  <c r="AI18" i="19" a="1"/>
  <c r="AI10" i="19" a="1"/>
  <c r="AI9" i="19" a="1"/>
  <c r="AI16" i="19" a="1"/>
  <c r="AI6" i="19" a="1"/>
  <c r="AI17" i="19" a="1"/>
  <c r="AI12" i="19" a="1"/>
  <c r="AI7" i="19" a="1"/>
  <c r="AI15" i="19" a="1"/>
  <c r="AI13" i="19" a="1"/>
  <c r="AI8" i="19" a="1"/>
  <c r="AI14" i="19" a="1"/>
  <c r="AI11" i="19" a="1"/>
  <c r="AG18" i="19" a="1"/>
  <c r="AG15" i="19" a="1"/>
  <c r="AG17" i="19" a="1"/>
  <c r="AG6" i="19" a="1"/>
  <c r="AG14" i="19" a="1"/>
  <c r="AG16" i="19" a="1"/>
  <c r="AG10" i="19" a="1"/>
  <c r="AG13" i="19" a="1"/>
  <c r="AG7" i="19" a="1"/>
  <c r="AG11" i="19" a="1"/>
  <c r="AG8" i="19" a="1"/>
  <c r="AG9" i="19" a="1"/>
  <c r="AG12" i="19" a="1"/>
  <c r="AH15" i="19" a="1"/>
  <c r="AH13" i="19" a="1"/>
  <c r="AH11" i="19" a="1"/>
  <c r="AH7" i="19" a="1"/>
  <c r="AH16" i="19" a="1"/>
  <c r="AH18" i="19" a="1"/>
  <c r="AH17" i="19" a="1"/>
  <c r="AH9" i="19" a="1"/>
  <c r="AH8" i="19" a="1"/>
  <c r="AH10" i="19" a="1"/>
  <c r="AH14" i="19" a="1"/>
  <c r="AH6" i="19" a="1"/>
  <c r="AH12" i="19" a="1"/>
  <c r="G27" i="19" a="1"/>
  <c r="H27" i="19" a="1"/>
  <c r="F27" i="19" a="1"/>
  <c r="D27" i="19" a="1"/>
  <c r="E28" i="19" l="1"/>
  <c r="AH12" i="19"/>
  <c r="AH6" i="19"/>
  <c r="AH14" i="19"/>
  <c r="AH10" i="19"/>
  <c r="AH8" i="19"/>
  <c r="AH9" i="19"/>
  <c r="AH17" i="19"/>
  <c r="AH18" i="19"/>
  <c r="AH16" i="19"/>
  <c r="AH7" i="19"/>
  <c r="AH11" i="19"/>
  <c r="AH13" i="19"/>
  <c r="AH15" i="19"/>
  <c r="AG12" i="19"/>
  <c r="AG9" i="19"/>
  <c r="AG8" i="19"/>
  <c r="AG11" i="19"/>
  <c r="AG7" i="19"/>
  <c r="AG13" i="19"/>
  <c r="AG10" i="19"/>
  <c r="AG16" i="19"/>
  <c r="AG14" i="19"/>
  <c r="AG6" i="19"/>
  <c r="AG17" i="19"/>
  <c r="AG15" i="19"/>
  <c r="AG18" i="19"/>
  <c r="AI11" i="19"/>
  <c r="AI14" i="19"/>
  <c r="AI8" i="19"/>
  <c r="AI13" i="19"/>
  <c r="AI15" i="19"/>
  <c r="AI7" i="19"/>
  <c r="AI12" i="19"/>
  <c r="AI17" i="19"/>
  <c r="AI6" i="19"/>
  <c r="AI16" i="19"/>
  <c r="AI9" i="19"/>
  <c r="AI10" i="19"/>
  <c r="AI18" i="19"/>
  <c r="D27" i="19"/>
  <c r="F27" i="19"/>
  <c r="H27" i="19"/>
  <c r="G27" i="19"/>
  <c r="E27" i="19" a="1"/>
  <c r="AJ11" i="19" a="1"/>
  <c r="AJ17" i="19" a="1"/>
  <c r="AJ15" i="19" a="1"/>
  <c r="AJ8" i="19" a="1"/>
  <c r="AJ7" i="19" a="1"/>
  <c r="AJ13" i="19" a="1"/>
  <c r="AJ10" i="19" a="1"/>
  <c r="AJ16" i="19" a="1"/>
  <c r="AJ18" i="19" a="1"/>
  <c r="AJ12" i="19" a="1"/>
  <c r="AJ14" i="19" a="1"/>
  <c r="AJ6" i="19" a="1"/>
  <c r="AJ9" i="19" a="1"/>
  <c r="E27" i="19" l="1"/>
  <c r="AJ9" i="19"/>
  <c r="AJ6" i="19"/>
  <c r="AJ14" i="19"/>
  <c r="AJ12" i="19"/>
  <c r="AJ18" i="19"/>
  <c r="AJ16" i="19"/>
  <c r="AJ10" i="19"/>
  <c r="AJ13" i="19"/>
  <c r="AJ7" i="19"/>
  <c r="AJ8" i="19"/>
  <c r="AJ15" i="19"/>
  <c r="AJ17" i="19"/>
  <c r="AJ11" i="19"/>
  <c r="BD6" i="19"/>
  <c r="AK9" i="19" a="1"/>
  <c r="AK6" i="19" a="1"/>
  <c r="AK14" i="19" a="1"/>
  <c r="AK12" i="19" a="1"/>
  <c r="AK18" i="19" a="1"/>
  <c r="AK16" i="19" a="1"/>
  <c r="AK10" i="19" a="1"/>
  <c r="AK13" i="19" a="1"/>
  <c r="AK7" i="19" a="1"/>
  <c r="AK8" i="19" a="1"/>
  <c r="AK15" i="19" a="1"/>
  <c r="AK17" i="19" a="1"/>
  <c r="AK11" i="19" a="1"/>
  <c r="AK11" i="19" l="1"/>
  <c r="AK17" i="19"/>
  <c r="AK15" i="19"/>
  <c r="AK8" i="19"/>
  <c r="AK7" i="19"/>
  <c r="AK13" i="19"/>
  <c r="AK10" i="19"/>
  <c r="AK16" i="19"/>
  <c r="AK18" i="19"/>
  <c r="AK12" i="19"/>
  <c r="AK14" i="19"/>
  <c r="AK6" i="19"/>
  <c r="AK9" i="19"/>
  <c r="AL11" i="19" a="1"/>
  <c r="AL17" i="19" a="1"/>
  <c r="AL15" i="19" a="1"/>
  <c r="AL8" i="19" a="1"/>
  <c r="AL7" i="19" a="1"/>
  <c r="AL13" i="19" a="1"/>
  <c r="AL10" i="19" a="1"/>
  <c r="AL16" i="19" a="1"/>
  <c r="AL18" i="19" a="1"/>
  <c r="AL12" i="19" a="1"/>
  <c r="AL14" i="19" a="1"/>
  <c r="AL6" i="19" a="1"/>
  <c r="AL9" i="19" a="1"/>
  <c r="AL9" i="19" l="1"/>
  <c r="AL6" i="19"/>
  <c r="AL14" i="19"/>
  <c r="AL12" i="19"/>
  <c r="AL18" i="19"/>
  <c r="AL16" i="19"/>
  <c r="AL10" i="19"/>
  <c r="AL13" i="19"/>
  <c r="AL7" i="19"/>
  <c r="AL8" i="19"/>
  <c r="AL15" i="19"/>
  <c r="AL17" i="19"/>
  <c r="AL11" i="19"/>
  <c r="AM9" i="19" a="1"/>
  <c r="AM6" i="19" a="1"/>
  <c r="AM14" i="19" a="1"/>
  <c r="AM12" i="19" a="1"/>
  <c r="AM18" i="19" a="1"/>
  <c r="AM16" i="19" a="1"/>
  <c r="AM10" i="19" a="1"/>
  <c r="AM13" i="19" a="1"/>
  <c r="AM7" i="19" a="1"/>
  <c r="AM8" i="19" a="1"/>
  <c r="AM15" i="19" a="1"/>
  <c r="AM17" i="19" a="1"/>
  <c r="AM11" i="19" a="1"/>
  <c r="AM11" i="19" l="1"/>
  <c r="AM17" i="19"/>
  <c r="AM15" i="19"/>
  <c r="AM8" i="19"/>
  <c r="AM7" i="19"/>
  <c r="AM13" i="19"/>
  <c r="AM10" i="19"/>
  <c r="AM16" i="19"/>
  <c r="AM18" i="19"/>
  <c r="AM12" i="19"/>
  <c r="AM14" i="19"/>
  <c r="AM6" i="19"/>
  <c r="AM9" i="19"/>
  <c r="AN17" i="19" a="1"/>
  <c r="AN8" i="19" a="1"/>
  <c r="AN7" i="19" a="1"/>
  <c r="AN13" i="19" a="1"/>
  <c r="AN10" i="19" a="1"/>
  <c r="AN16" i="19" a="1"/>
  <c r="AN14" i="19" a="1"/>
  <c r="AN6" i="19" a="1"/>
  <c r="AN11" i="19" a="1"/>
  <c r="AN15" i="19" a="1"/>
  <c r="AN18" i="19" a="1"/>
  <c r="AN9" i="19" a="1"/>
  <c r="AN12" i="19" a="1"/>
  <c r="AN11" i="19" l="1"/>
  <c r="AN6" i="19"/>
  <c r="AN14" i="19"/>
  <c r="AN16" i="19"/>
  <c r="AN10" i="19"/>
  <c r="AN13" i="19"/>
  <c r="AN7" i="19"/>
  <c r="AN8" i="19"/>
  <c r="AN17" i="19"/>
  <c r="AN12" i="19"/>
  <c r="AN9" i="19"/>
  <c r="AN18" i="19"/>
  <c r="AN15" i="19"/>
  <c r="AO12" i="19" a="1"/>
  <c r="AO9" i="19" a="1"/>
  <c r="AO6" i="19" a="1"/>
  <c r="AO14" i="19" a="1"/>
  <c r="AO18" i="19" a="1"/>
  <c r="AO16" i="19" a="1"/>
  <c r="AO10" i="19" a="1"/>
  <c r="AO13" i="19" a="1"/>
  <c r="AO7" i="19" a="1"/>
  <c r="AO8" i="19" a="1"/>
  <c r="AO15" i="19" a="1"/>
  <c r="AO17" i="19" a="1"/>
  <c r="AO11" i="19" a="1"/>
  <c r="AO11" i="19" l="1"/>
  <c r="AO17" i="19"/>
  <c r="AO15" i="19"/>
  <c r="AO8" i="19"/>
  <c r="AO7" i="19"/>
  <c r="AO13" i="19"/>
  <c r="AO10" i="19"/>
  <c r="AO16" i="19"/>
  <c r="AO18" i="19"/>
  <c r="AO14" i="19"/>
  <c r="AO6" i="19"/>
  <c r="AO9" i="19"/>
  <c r="AO12" i="19"/>
  <c r="AP11" i="19" a="1"/>
  <c r="AP15" i="19" a="1"/>
  <c r="AP8" i="19" a="1"/>
  <c r="AP13" i="19" a="1"/>
  <c r="AP10" i="19" a="1"/>
  <c r="AP16" i="19" a="1"/>
  <c r="AP6" i="19" a="1"/>
  <c r="AP17" i="19" a="1"/>
  <c r="AP7" i="19" a="1"/>
  <c r="AP18" i="19" a="1"/>
  <c r="AP14" i="19" a="1"/>
  <c r="AP9" i="19" a="1"/>
  <c r="AP12" i="19" a="1"/>
  <c r="AP6" i="19" l="1"/>
  <c r="AP16" i="19"/>
  <c r="AP10" i="19"/>
  <c r="AP13" i="19"/>
  <c r="AP8" i="19"/>
  <c r="AP15" i="19"/>
  <c r="AP11" i="19"/>
  <c r="AP12" i="19"/>
  <c r="AP9" i="19"/>
  <c r="AP14" i="19"/>
  <c r="AP18" i="19"/>
  <c r="AP7" i="19"/>
  <c r="AP17" i="19"/>
  <c r="AQ12" i="19" a="1"/>
  <c r="AQ9" i="19" a="1"/>
  <c r="AQ6" i="19" a="1"/>
  <c r="AQ14" i="19" a="1"/>
  <c r="AQ18" i="19" a="1"/>
  <c r="AQ16" i="19" a="1"/>
  <c r="AQ10" i="19" a="1"/>
  <c r="AQ13" i="19" a="1"/>
  <c r="AQ8" i="19" a="1"/>
  <c r="AQ15" i="19" a="1"/>
  <c r="AQ11" i="19" a="1"/>
  <c r="AQ7" i="19" a="1"/>
  <c r="AQ17" i="19" a="1"/>
  <c r="AQ17" i="19" l="1"/>
  <c r="AQ7" i="19"/>
  <c r="AQ11" i="19"/>
  <c r="AQ15" i="19"/>
  <c r="AQ8" i="19"/>
  <c r="AQ13" i="19"/>
  <c r="AQ10" i="19"/>
  <c r="AQ16" i="19"/>
  <c r="AQ18" i="19"/>
  <c r="AQ14" i="19"/>
  <c r="AQ6" i="19"/>
  <c r="AQ9" i="19"/>
  <c r="AQ12" i="19"/>
  <c r="AR11" i="19" a="1"/>
  <c r="AR13" i="19" a="1"/>
  <c r="AR10" i="19" a="1"/>
  <c r="AR16" i="19" a="1"/>
  <c r="AR18" i="19" a="1"/>
  <c r="AR7" i="19" a="1"/>
  <c r="AR14" i="19" a="1"/>
  <c r="AR9" i="19" a="1"/>
  <c r="AR17" i="19" a="1"/>
  <c r="AR15" i="19" a="1"/>
  <c r="AR8" i="19" a="1"/>
  <c r="AR6" i="19" a="1"/>
  <c r="AR12" i="19" a="1"/>
  <c r="AR9" i="19" l="1"/>
  <c r="AR14" i="19"/>
  <c r="AR7" i="19"/>
  <c r="AR18" i="19"/>
  <c r="AR16" i="19"/>
  <c r="AR10" i="19"/>
  <c r="AR13" i="19"/>
  <c r="AR11" i="19"/>
  <c r="AR12" i="19"/>
  <c r="AR6" i="19"/>
  <c r="AR8" i="19"/>
  <c r="AR15" i="19"/>
  <c r="AR17" i="19"/>
  <c r="AS9" i="19" a="1"/>
  <c r="AS16" i="19" a="1"/>
  <c r="AS10" i="19" a="1"/>
  <c r="AS12" i="19" a="1"/>
  <c r="AS6" i="19" a="1"/>
  <c r="AS8" i="19" a="1"/>
  <c r="AS14" i="19" a="1"/>
  <c r="AS7" i="19" a="1"/>
  <c r="AS13" i="19" a="1"/>
  <c r="AS11" i="19" a="1"/>
  <c r="AS15" i="19" a="1"/>
  <c r="AS18" i="19" a="1"/>
  <c r="AS17" i="19" a="1"/>
  <c r="AS15" i="19" l="1"/>
  <c r="AS11" i="19"/>
  <c r="AS13" i="19"/>
  <c r="AS7" i="19"/>
  <c r="AS14" i="19"/>
  <c r="AS8" i="19"/>
  <c r="AS6" i="19"/>
  <c r="AS12" i="19"/>
  <c r="AS10" i="19"/>
  <c r="AS16" i="19"/>
  <c r="AS9" i="19"/>
  <c r="AS17" i="19"/>
  <c r="AS18" i="19"/>
  <c r="AT15" i="19" a="1"/>
  <c r="AT11" i="19" a="1"/>
  <c r="AT13" i="19" a="1"/>
  <c r="AT7" i="19" a="1"/>
  <c r="AT14" i="19" a="1"/>
  <c r="AT8" i="19" a="1"/>
  <c r="AT6" i="19" a="1"/>
  <c r="AT12" i="19" a="1"/>
  <c r="AT10" i="19" a="1"/>
  <c r="AT16" i="19" a="1"/>
  <c r="AT9" i="19" a="1"/>
  <c r="AT17" i="19" a="1"/>
  <c r="AT18" i="19" a="1"/>
  <c r="AT18" i="19" l="1"/>
  <c r="AT17" i="19"/>
  <c r="AT9" i="19"/>
  <c r="AT16" i="19"/>
  <c r="AT10" i="19"/>
  <c r="AT12" i="19"/>
  <c r="AT6" i="19"/>
  <c r="AT8" i="19"/>
  <c r="AT14" i="19"/>
  <c r="AT7" i="19"/>
  <c r="AT13" i="19"/>
  <c r="AT11" i="19"/>
  <c r="AT15" i="19"/>
  <c r="AU18" i="19" a="1"/>
  <c r="AU17" i="19" a="1"/>
  <c r="AU9" i="19" a="1"/>
  <c r="AU16" i="19" a="1"/>
  <c r="AU10" i="19" a="1"/>
  <c r="AU12" i="19" a="1"/>
  <c r="AU6" i="19" a="1"/>
  <c r="AU8" i="19" a="1"/>
  <c r="AU14" i="19" a="1"/>
  <c r="AU7" i="19" a="1"/>
  <c r="AU13" i="19" a="1"/>
  <c r="AU11" i="19" a="1"/>
  <c r="AU15" i="19" a="1"/>
  <c r="AU15" i="19" l="1"/>
  <c r="AU11" i="19"/>
  <c r="AU13" i="19"/>
  <c r="AU7" i="19"/>
  <c r="AU14" i="19"/>
  <c r="AU8" i="19"/>
  <c r="AU6" i="19"/>
  <c r="AU12" i="19"/>
  <c r="AU10" i="19"/>
  <c r="AU16" i="19"/>
  <c r="AU9" i="19"/>
  <c r="AU17" i="19"/>
  <c r="AU18" i="19"/>
  <c r="AV15" i="19" a="1"/>
  <c r="AV11" i="19" a="1"/>
  <c r="AV13" i="19" a="1"/>
  <c r="AV7" i="19" a="1"/>
  <c r="AV14" i="19" a="1"/>
  <c r="AV8" i="19" a="1"/>
  <c r="AV6" i="19" a="1"/>
  <c r="AV10" i="19" a="1"/>
  <c r="AV16" i="19" a="1"/>
  <c r="AV9" i="19" a="1"/>
  <c r="AV17" i="19" a="1"/>
  <c r="AV12" i="19" a="1"/>
  <c r="AV18" i="19" a="1"/>
  <c r="AV18" i="19" l="1"/>
  <c r="AV12" i="19"/>
  <c r="AV17" i="19"/>
  <c r="AV9" i="19"/>
  <c r="AV16" i="19"/>
  <c r="AV10" i="19"/>
  <c r="AV6" i="19"/>
  <c r="AV8" i="19"/>
  <c r="AV14" i="19"/>
  <c r="AV7" i="19"/>
  <c r="AV13" i="19"/>
  <c r="AV11" i="19"/>
  <c r="AV15" i="19"/>
  <c r="AW18" i="19" a="1"/>
  <c r="AW12" i="19" a="1"/>
  <c r="AW17" i="19" a="1"/>
  <c r="AW9" i="19" a="1"/>
  <c r="AW16" i="19" a="1"/>
  <c r="AW10" i="19" a="1"/>
  <c r="AW6" i="19" a="1"/>
  <c r="AW8" i="19" a="1"/>
  <c r="AW14" i="19" a="1"/>
  <c r="AW7" i="19" a="1"/>
  <c r="AW13" i="19" a="1"/>
  <c r="AW11" i="19" a="1"/>
  <c r="AW15" i="19" a="1"/>
  <c r="AW15" i="19" l="1"/>
  <c r="AW11" i="19"/>
  <c r="AW13" i="19"/>
  <c r="AW7" i="19"/>
  <c r="AW14" i="19"/>
  <c r="AW8" i="19"/>
  <c r="AW6" i="19"/>
  <c r="AW10" i="19"/>
  <c r="AW16" i="19"/>
  <c r="AW9" i="19"/>
  <c r="AW17" i="19"/>
  <c r="AW12" i="19"/>
  <c r="AW18" i="19"/>
  <c r="AX15" i="19" a="1"/>
  <c r="AX11" i="19" a="1"/>
  <c r="AX13" i="19" a="1"/>
  <c r="AX7" i="19" a="1"/>
  <c r="AX14" i="19" a="1"/>
  <c r="AX8" i="19" a="1"/>
  <c r="AX6" i="19" a="1"/>
  <c r="AX10" i="19" a="1"/>
  <c r="AX9" i="19" a="1"/>
  <c r="AX17" i="19" a="1"/>
  <c r="AX16" i="19" a="1"/>
  <c r="AX12" i="19" a="1"/>
  <c r="AX18" i="19" a="1"/>
  <c r="AX18" i="19" l="1"/>
  <c r="AX12" i="19"/>
  <c r="AX16" i="19"/>
  <c r="AX17" i="19"/>
  <c r="AX9" i="19"/>
  <c r="AX10" i="19"/>
  <c r="AX6" i="19"/>
  <c r="AX8" i="19"/>
  <c r="AX14" i="19"/>
  <c r="AX7" i="19"/>
  <c r="AX13" i="19"/>
  <c r="AX11" i="19"/>
  <c r="AX15" i="19"/>
  <c r="AY18" i="19" a="1"/>
  <c r="AY12" i="19" a="1"/>
  <c r="AY16" i="19" a="1"/>
  <c r="AY17" i="19" a="1"/>
  <c r="AY9" i="19" a="1"/>
  <c r="AY10" i="19" a="1"/>
  <c r="AY6" i="19" a="1"/>
  <c r="AY8" i="19" a="1"/>
  <c r="AY14" i="19" a="1"/>
  <c r="AY7" i="19" a="1"/>
  <c r="AY13" i="19" a="1"/>
  <c r="AY11" i="19" a="1"/>
  <c r="AY15" i="19" a="1"/>
  <c r="AY15" i="19" l="1"/>
  <c r="AY11" i="19"/>
  <c r="AY13" i="19"/>
  <c r="AY7" i="19"/>
  <c r="AY14" i="19"/>
  <c r="AY8" i="19"/>
  <c r="AY6" i="19"/>
  <c r="AY10" i="19"/>
  <c r="AY9" i="19"/>
  <c r="AY17" i="19"/>
  <c r="AY16" i="19"/>
  <c r="AY12" i="19"/>
  <c r="AY18" i="19"/>
  <c r="AZ11" i="19" a="1"/>
  <c r="AZ13" i="19" a="1"/>
  <c r="AZ7" i="19" a="1"/>
  <c r="AZ14" i="19" a="1"/>
  <c r="AZ8" i="19" a="1"/>
  <c r="AZ6" i="19" a="1"/>
  <c r="AZ10" i="19" a="1"/>
  <c r="AZ9" i="19" a="1"/>
  <c r="AZ17" i="19" a="1"/>
  <c r="AZ16" i="19" a="1"/>
  <c r="AZ12" i="19" a="1"/>
  <c r="AZ18" i="19" a="1"/>
  <c r="AZ15" i="19" a="1"/>
  <c r="AZ15" i="19" l="1"/>
  <c r="AZ18" i="19"/>
  <c r="AZ12" i="19"/>
  <c r="AZ16" i="19"/>
  <c r="AZ17" i="19"/>
  <c r="AZ9" i="19"/>
  <c r="AZ10" i="19"/>
  <c r="AZ6" i="19"/>
  <c r="AZ8" i="19"/>
  <c r="AZ14" i="19"/>
  <c r="AZ7" i="19"/>
  <c r="AZ13" i="19"/>
  <c r="AZ11" i="19"/>
  <c r="B32" i="16"/>
  <c r="A32" i="16" s="1"/>
  <c r="A31" i="16"/>
  <c r="A30" i="16"/>
  <c r="A29" i="16"/>
  <c r="A28" i="16"/>
  <c r="A27" i="16"/>
  <c r="A26" i="16"/>
  <c r="A25" i="16"/>
  <c r="A24" i="16"/>
  <c r="A23" i="16"/>
  <c r="A22" i="16"/>
  <c r="N19" i="16"/>
  <c r="BC18" i="16"/>
  <c r="BC17" i="16"/>
  <c r="N17" i="16"/>
  <c r="N16" i="16"/>
  <c r="N15" i="16"/>
  <c r="N14" i="16"/>
  <c r="N13" i="16"/>
  <c r="N12" i="16"/>
  <c r="N11" i="16"/>
  <c r="N10" i="16"/>
  <c r="N9" i="16"/>
  <c r="N8" i="16"/>
  <c r="N7" i="16"/>
  <c r="N6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B32" i="20"/>
  <c r="A32" i="20" s="1"/>
  <c r="B31" i="20"/>
  <c r="A31" i="20" s="1"/>
  <c r="B30" i="20"/>
  <c r="A30" i="20" s="1"/>
  <c r="B29" i="20"/>
  <c r="A29" i="20" s="1"/>
  <c r="B28" i="20"/>
  <c r="A28" i="20" s="1"/>
  <c r="B27" i="20"/>
  <c r="A27" i="20" s="1"/>
  <c r="B26" i="20"/>
  <c r="A26" i="20" s="1"/>
  <c r="B25" i="20"/>
  <c r="A25" i="20" s="1"/>
  <c r="B24" i="20"/>
  <c r="A24" i="20" s="1"/>
  <c r="B23" i="20"/>
  <c r="A23" i="20" s="1"/>
  <c r="B22" i="20"/>
  <c r="A22" i="20" s="1"/>
  <c r="N19" i="20"/>
  <c r="BC18" i="20"/>
  <c r="BC17" i="20"/>
  <c r="N17" i="20"/>
  <c r="N16" i="20"/>
  <c r="N15" i="20"/>
  <c r="N14" i="20"/>
  <c r="N13" i="20"/>
  <c r="N12" i="20"/>
  <c r="N11" i="20"/>
  <c r="N10" i="20"/>
  <c r="N9" i="20"/>
  <c r="N8" i="20"/>
  <c r="N7" i="20"/>
  <c r="N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BA15" i="19" a="1"/>
  <c r="BA18" i="19" a="1"/>
  <c r="BA12" i="19" a="1"/>
  <c r="BA16" i="19" a="1"/>
  <c r="BA17" i="19" a="1"/>
  <c r="BA9" i="19" a="1"/>
  <c r="BA10" i="19" a="1"/>
  <c r="BA6" i="19" a="1"/>
  <c r="BA8" i="19" a="1"/>
  <c r="BA11" i="19" a="1"/>
  <c r="BA14" i="19" a="1"/>
  <c r="BA7" i="19" a="1"/>
  <c r="BA13" i="19" a="1"/>
  <c r="AF13" i="16" a="1"/>
  <c r="AF8" i="16" a="1"/>
  <c r="AF15" i="16" a="1"/>
  <c r="AF7" i="16" a="1"/>
  <c r="AF6" i="16" a="1"/>
  <c r="AF10" i="16" a="1"/>
  <c r="AF12" i="16" a="1"/>
  <c r="AF11" i="16" a="1"/>
  <c r="AG6" i="20" a="1"/>
  <c r="AG13" i="20" a="1"/>
  <c r="AG8" i="20" a="1"/>
  <c r="AF6" i="20" a="1"/>
  <c r="AF8" i="20" a="1"/>
  <c r="AF13" i="20" a="1"/>
  <c r="AH10" i="16" a="1"/>
  <c r="AH7" i="16" a="1"/>
  <c r="AH15" i="16" a="1"/>
  <c r="AH13" i="16" a="1"/>
  <c r="AH8" i="16" a="1"/>
  <c r="AH11" i="16" a="1"/>
  <c r="AH6" i="16" a="1"/>
  <c r="AH12" i="16" a="1"/>
  <c r="AG11" i="16" a="1"/>
  <c r="AG10" i="16" a="1"/>
  <c r="AG15" i="16" a="1"/>
  <c r="AG12" i="16" a="1"/>
  <c r="AG8" i="16" a="1"/>
  <c r="AG13" i="16" a="1"/>
  <c r="AG6" i="16" a="1"/>
  <c r="AG7" i="16" a="1"/>
  <c r="AH6" i="20" a="1"/>
  <c r="AH8" i="20" a="1"/>
  <c r="AH13" i="20" a="1"/>
  <c r="AH9" i="16" a="1"/>
  <c r="AH14" i="16" a="1"/>
  <c r="AH16" i="16" a="1"/>
  <c r="AH17" i="16" a="1"/>
  <c r="AG14" i="16" a="1"/>
  <c r="AG16" i="16" a="1"/>
  <c r="AG17" i="16" a="1"/>
  <c r="AG9" i="16" a="1"/>
  <c r="AH16" i="20" a="1"/>
  <c r="AH15" i="20" a="1"/>
  <c r="AH17" i="20" a="1"/>
  <c r="AH14" i="20" a="1"/>
  <c r="AH12" i="20" a="1"/>
  <c r="AH7" i="20" a="1"/>
  <c r="AH9" i="20" a="1"/>
  <c r="AH10" i="20" a="1"/>
  <c r="AH11" i="20" a="1"/>
  <c r="AF9" i="16" a="1"/>
  <c r="AF14" i="16" a="1"/>
  <c r="AF17" i="16" a="1"/>
  <c r="AF16" i="16" a="1"/>
  <c r="AG12" i="20" a="1"/>
  <c r="AG7" i="20" a="1"/>
  <c r="AG9" i="20" a="1"/>
  <c r="AG11" i="20" a="1"/>
  <c r="AG14" i="20" a="1"/>
  <c r="AG16" i="20" a="1"/>
  <c r="AG17" i="20" a="1"/>
  <c r="AG10" i="20" a="1"/>
  <c r="AG15" i="20" a="1"/>
  <c r="AF12" i="20" a="1"/>
  <c r="AF7" i="20" a="1"/>
  <c r="AF17" i="20" a="1"/>
  <c r="AF16" i="20" a="1"/>
  <c r="AF9" i="20" a="1"/>
  <c r="AF10" i="20" a="1"/>
  <c r="AF11" i="20" a="1"/>
  <c r="AF14" i="20" a="1"/>
  <c r="AF15" i="20" a="1"/>
  <c r="AH18" i="16" a="1"/>
  <c r="AG18" i="16" a="1"/>
  <c r="AH18" i="20" a="1"/>
  <c r="AF18" i="16" a="1"/>
  <c r="AG18" i="20" a="1"/>
  <c r="AF18" i="20" a="1"/>
  <c r="E31" i="16" a="1"/>
  <c r="F31" i="16" a="1"/>
  <c r="G31" i="16" a="1"/>
  <c r="C31" i="16" a="1"/>
  <c r="K31" i="16" a="1"/>
  <c r="J31" i="16" a="1"/>
  <c r="E30" i="16" a="1"/>
  <c r="F30" i="16" a="1"/>
  <c r="G30" i="16" a="1"/>
  <c r="C30" i="16" a="1"/>
  <c r="K30" i="16" a="1"/>
  <c r="J30" i="16" a="1"/>
  <c r="E29" i="16" a="1"/>
  <c r="F29" i="16" a="1"/>
  <c r="G29" i="16" a="1"/>
  <c r="C29" i="16" a="1"/>
  <c r="K23" i="20" a="1"/>
  <c r="J23" i="20" a="1"/>
  <c r="J29" i="16" a="1"/>
  <c r="K29" i="16" a="1"/>
  <c r="F29" i="20" a="1"/>
  <c r="E29" i="20" a="1"/>
  <c r="G29" i="20" a="1"/>
  <c r="C29" i="20" a="1"/>
  <c r="E27" i="16" a="1"/>
  <c r="F27" i="16" a="1"/>
  <c r="G27" i="16" a="1"/>
  <c r="C27" i="16" a="1"/>
  <c r="J29" i="20" a="1"/>
  <c r="K29" i="20" a="1"/>
  <c r="F28" i="20" a="1"/>
  <c r="E28" i="20" a="1"/>
  <c r="G28" i="20" a="1"/>
  <c r="C28" i="20" a="1"/>
  <c r="J27" i="16" a="1"/>
  <c r="K27" i="16" a="1"/>
  <c r="K28" i="20" a="1"/>
  <c r="J28" i="20" a="1"/>
  <c r="E25" i="16" a="1"/>
  <c r="F25" i="16" a="1"/>
  <c r="G25" i="16" a="1"/>
  <c r="C25" i="16" a="1"/>
  <c r="J25" i="16" a="1"/>
  <c r="K25" i="16" a="1"/>
  <c r="E24" i="16" a="1"/>
  <c r="F24" i="16" a="1"/>
  <c r="G24" i="16" a="1"/>
  <c r="C24" i="16" a="1"/>
  <c r="G25" i="20" a="1"/>
  <c r="E25" i="20" a="1"/>
  <c r="F25" i="20" a="1"/>
  <c r="C25" i="20" a="1"/>
  <c r="J24" i="16" a="1"/>
  <c r="K24" i="16" a="1"/>
  <c r="E23" i="16" a="1"/>
  <c r="F23" i="16" a="1"/>
  <c r="G23" i="16" a="1"/>
  <c r="C23" i="16" a="1"/>
  <c r="K25" i="20" a="1"/>
  <c r="J25" i="20" a="1"/>
  <c r="J23" i="16" a="1"/>
  <c r="K23" i="16" a="1"/>
  <c r="G23" i="20" a="1"/>
  <c r="E23" i="20" a="1"/>
  <c r="F23" i="20" a="1"/>
  <c r="C23" i="20" a="1"/>
  <c r="E26" i="16" a="1"/>
  <c r="F26" i="16" a="1"/>
  <c r="G26" i="16" a="1"/>
  <c r="C26" i="16" a="1"/>
  <c r="E22" i="16" a="1"/>
  <c r="F22" i="16" a="1"/>
  <c r="G22" i="16" a="1"/>
  <c r="C22" i="16" a="1"/>
  <c r="J22" i="16" a="1"/>
  <c r="K22" i="16" a="1"/>
  <c r="E28" i="16" a="1"/>
  <c r="F28" i="16" a="1"/>
  <c r="G28" i="16" a="1"/>
  <c r="C28" i="16" a="1"/>
  <c r="K28" i="16" a="1"/>
  <c r="J28" i="16" a="1"/>
  <c r="K26" i="16" a="1"/>
  <c r="J26" i="16" a="1"/>
  <c r="C32" i="20" a="1"/>
  <c r="J32" i="20" a="1"/>
  <c r="K32" i="20" a="1"/>
  <c r="F31" i="20" a="1"/>
  <c r="G31" i="20" a="1"/>
  <c r="E31" i="20" a="1"/>
  <c r="C31" i="20" a="1"/>
  <c r="K31" i="20" a="1"/>
  <c r="J31" i="20" a="1"/>
  <c r="F27" i="20" a="1"/>
  <c r="E27" i="20" a="1"/>
  <c r="G27" i="20" a="1"/>
  <c r="C27" i="20" a="1"/>
  <c r="J27" i="20" a="1"/>
  <c r="K27" i="20" a="1"/>
  <c r="G26" i="20" a="1"/>
  <c r="E26" i="20" a="1"/>
  <c r="F26" i="20" a="1"/>
  <c r="C26" i="20" a="1"/>
  <c r="K26" i="20" a="1"/>
  <c r="J26" i="20" a="1"/>
  <c r="F24" i="20" a="1"/>
  <c r="G24" i="20" a="1"/>
  <c r="E24" i="20" a="1"/>
  <c r="C24" i="20" a="1"/>
  <c r="K24" i="20" a="1"/>
  <c r="J24" i="20" a="1"/>
  <c r="J32" i="16" a="1"/>
  <c r="K32" i="16" a="1"/>
  <c r="F32" i="16" a="1"/>
  <c r="E32" i="16" a="1"/>
  <c r="G32" i="16" a="1"/>
  <c r="C32" i="16" a="1"/>
  <c r="G30" i="20" a="1"/>
  <c r="F30" i="20" a="1"/>
  <c r="E30" i="20" a="1"/>
  <c r="C30" i="20" a="1"/>
  <c r="J30" i="20" a="1"/>
  <c r="K30" i="20" a="1"/>
  <c r="G22" i="20" a="1"/>
  <c r="E22" i="20" a="1"/>
  <c r="F22" i="20" a="1"/>
  <c r="C22" i="20" a="1"/>
  <c r="J22" i="20" a="1"/>
  <c r="K22" i="20" a="1"/>
  <c r="BA13" i="19" l="1"/>
  <c r="BA7" i="19"/>
  <c r="BA14" i="19"/>
  <c r="BA11" i="19"/>
  <c r="BA8" i="19"/>
  <c r="BA6" i="19"/>
  <c r="BA10" i="19"/>
  <c r="BA9" i="19"/>
  <c r="BA17" i="19"/>
  <c r="BA16" i="19"/>
  <c r="BA12" i="19"/>
  <c r="BA18" i="19"/>
  <c r="BA15" i="19"/>
  <c r="AH13" i="20"/>
  <c r="AH8" i="20"/>
  <c r="AH6" i="20"/>
  <c r="AG7" i="16"/>
  <c r="AG6" i="16"/>
  <c r="AG13" i="16"/>
  <c r="AG8" i="16"/>
  <c r="AG12" i="16"/>
  <c r="AG15" i="16"/>
  <c r="AG10" i="16"/>
  <c r="AG11" i="16"/>
  <c r="AH12" i="16"/>
  <c r="AH6" i="16"/>
  <c r="AH11" i="16"/>
  <c r="AH8" i="16"/>
  <c r="AH13" i="16"/>
  <c r="AH15" i="16"/>
  <c r="AH7" i="16"/>
  <c r="AH10" i="16"/>
  <c r="AF13" i="20"/>
  <c r="AF8" i="20"/>
  <c r="AF6" i="20"/>
  <c r="AG8" i="20"/>
  <c r="AG13" i="20"/>
  <c r="AG6" i="20"/>
  <c r="AF11" i="16"/>
  <c r="AF12" i="16"/>
  <c r="AF10" i="16"/>
  <c r="AF6" i="16"/>
  <c r="AF7" i="16"/>
  <c r="AF15" i="16"/>
  <c r="AF8" i="16"/>
  <c r="AF13" i="16"/>
  <c r="AF15" i="20"/>
  <c r="AF14" i="20"/>
  <c r="AF11" i="20"/>
  <c r="AF10" i="20"/>
  <c r="AF9" i="20"/>
  <c r="AF16" i="20"/>
  <c r="AF17" i="20"/>
  <c r="AF7" i="20"/>
  <c r="AF12" i="20"/>
  <c r="AG15" i="20"/>
  <c r="AG10" i="20"/>
  <c r="AG17" i="20"/>
  <c r="AG16" i="20"/>
  <c r="AG14" i="20"/>
  <c r="AG11" i="20"/>
  <c r="AG9" i="20"/>
  <c r="AG7" i="20"/>
  <c r="AG12" i="20"/>
  <c r="AF16" i="16"/>
  <c r="AF17" i="16"/>
  <c r="AF14" i="16"/>
  <c r="AF9" i="16"/>
  <c r="AH11" i="20"/>
  <c r="AH10" i="20"/>
  <c r="AH9" i="20"/>
  <c r="AH7" i="20"/>
  <c r="AH12" i="20"/>
  <c r="AH14" i="20"/>
  <c r="AH17" i="20"/>
  <c r="AH15" i="20"/>
  <c r="AH16" i="20"/>
  <c r="AG9" i="16"/>
  <c r="AG17" i="16"/>
  <c r="AG16" i="16"/>
  <c r="AG14" i="16"/>
  <c r="AH17" i="16"/>
  <c r="AH16" i="16"/>
  <c r="AH14" i="16"/>
  <c r="AH9" i="16"/>
  <c r="AF18" i="20"/>
  <c r="AG18" i="20"/>
  <c r="AF18" i="16"/>
  <c r="AH18" i="20"/>
  <c r="AG18" i="16"/>
  <c r="AH18" i="16"/>
  <c r="C23" i="20"/>
  <c r="F23" i="20"/>
  <c r="E23" i="20"/>
  <c r="G23" i="20"/>
  <c r="K23" i="16"/>
  <c r="J23" i="16"/>
  <c r="J25" i="20"/>
  <c r="K25" i="20"/>
  <c r="C23" i="16"/>
  <c r="G23" i="16"/>
  <c r="F23" i="16"/>
  <c r="E23" i="16"/>
  <c r="K24" i="16"/>
  <c r="J24" i="16"/>
  <c r="C25" i="20"/>
  <c r="F25" i="20"/>
  <c r="E25" i="20"/>
  <c r="G25" i="20"/>
  <c r="C24" i="16"/>
  <c r="G24" i="16"/>
  <c r="F24" i="16"/>
  <c r="E24" i="16"/>
  <c r="K25" i="16"/>
  <c r="J25" i="16"/>
  <c r="C25" i="16"/>
  <c r="G25" i="16"/>
  <c r="F25" i="16"/>
  <c r="E25" i="16"/>
  <c r="J28" i="20"/>
  <c r="K28" i="20"/>
  <c r="K27" i="16"/>
  <c r="J27" i="16"/>
  <c r="C28" i="20"/>
  <c r="G28" i="20"/>
  <c r="E28" i="20"/>
  <c r="F28" i="20"/>
  <c r="K29" i="20"/>
  <c r="J29" i="20"/>
  <c r="C27" i="16"/>
  <c r="G27" i="16"/>
  <c r="F27" i="16"/>
  <c r="E27" i="16"/>
  <c r="C29" i="20"/>
  <c r="G29" i="20"/>
  <c r="E29" i="20"/>
  <c r="F29" i="20"/>
  <c r="K29" i="16"/>
  <c r="J29" i="16"/>
  <c r="J23" i="20"/>
  <c r="K23" i="20"/>
  <c r="C29" i="16"/>
  <c r="G29" i="16"/>
  <c r="F29" i="16"/>
  <c r="E29" i="16"/>
  <c r="J30" i="16"/>
  <c r="K30" i="16"/>
  <c r="C30" i="16"/>
  <c r="G30" i="16"/>
  <c r="F30" i="16"/>
  <c r="E30" i="16"/>
  <c r="J31" i="16"/>
  <c r="K31" i="16"/>
  <c r="C31" i="16"/>
  <c r="G31" i="16"/>
  <c r="F31" i="16"/>
  <c r="E31" i="16"/>
  <c r="J26" i="16"/>
  <c r="K26" i="16"/>
  <c r="J28" i="16"/>
  <c r="K28" i="16"/>
  <c r="C28" i="16"/>
  <c r="G28" i="16"/>
  <c r="F28" i="16"/>
  <c r="E28" i="16"/>
  <c r="K22" i="16"/>
  <c r="J22" i="16"/>
  <c r="C22" i="16"/>
  <c r="G22" i="16"/>
  <c r="F22" i="16"/>
  <c r="E22" i="16"/>
  <c r="C26" i="16"/>
  <c r="G26" i="16"/>
  <c r="F26" i="16"/>
  <c r="E26" i="16"/>
  <c r="C32" i="16"/>
  <c r="G32" i="16"/>
  <c r="E32" i="16"/>
  <c r="F32" i="16"/>
  <c r="K32" i="16"/>
  <c r="J32" i="16"/>
  <c r="J24" i="20"/>
  <c r="K24" i="20"/>
  <c r="C24" i="20"/>
  <c r="E24" i="20"/>
  <c r="G24" i="20"/>
  <c r="F24" i="20"/>
  <c r="J26" i="20"/>
  <c r="K26" i="20"/>
  <c r="C26" i="20"/>
  <c r="F26" i="20"/>
  <c r="E26" i="20"/>
  <c r="G26" i="20"/>
  <c r="K27" i="20"/>
  <c r="J27" i="20"/>
  <c r="C27" i="20"/>
  <c r="G27" i="20"/>
  <c r="E27" i="20"/>
  <c r="F27" i="20"/>
  <c r="J31" i="20"/>
  <c r="K31" i="20"/>
  <c r="C31" i="20"/>
  <c r="E31" i="20"/>
  <c r="G31" i="20"/>
  <c r="F31" i="20"/>
  <c r="K32" i="20"/>
  <c r="J32" i="20"/>
  <c r="C32" i="20"/>
  <c r="K22" i="20"/>
  <c r="J22" i="20"/>
  <c r="C22" i="20"/>
  <c r="F22" i="20"/>
  <c r="E22" i="20"/>
  <c r="G22" i="20"/>
  <c r="K30" i="20"/>
  <c r="J30" i="20"/>
  <c r="C30" i="20"/>
  <c r="E30" i="20"/>
  <c r="F30" i="20"/>
  <c r="G30" i="20"/>
  <c r="D22" i="16" a="1"/>
  <c r="D31" i="16" a="1"/>
  <c r="D26" i="20" a="1"/>
  <c r="D27" i="16" a="1"/>
  <c r="D28" i="16" a="1"/>
  <c r="D23" i="16" a="1"/>
  <c r="D32" i="16" a="1"/>
  <c r="D29" i="20" a="1"/>
  <c r="D26" i="16" a="1"/>
  <c r="D25" i="16" a="1"/>
  <c r="D25" i="20" a="1"/>
  <c r="D27" i="20" a="1"/>
  <c r="D30" i="20" a="1"/>
  <c r="D30" i="16" a="1"/>
  <c r="D22" i="20" a="1"/>
  <c r="D23" i="20" a="1"/>
  <c r="D28" i="20" a="1"/>
  <c r="D24" i="20" a="1"/>
  <c r="D24" i="16" a="1"/>
  <c r="D29" i="16" a="1"/>
  <c r="D31" i="20" a="1"/>
  <c r="BB13" i="19" a="1"/>
  <c r="BB7" i="19" a="1"/>
  <c r="BB14" i="19" a="1"/>
  <c r="BB11" i="19" a="1"/>
  <c r="BB8" i="19" a="1"/>
  <c r="BB6" i="19" a="1"/>
  <c r="BB10" i="19" a="1"/>
  <c r="BB9" i="19" a="1"/>
  <c r="BB17" i="19" a="1"/>
  <c r="BB16" i="19" a="1"/>
  <c r="BB12" i="19" a="1"/>
  <c r="BB18" i="19" a="1"/>
  <c r="BB15" i="19" a="1"/>
  <c r="AI11" i="16" a="1"/>
  <c r="AI12" i="16" a="1"/>
  <c r="AI10" i="16" a="1"/>
  <c r="AI6" i="16" a="1"/>
  <c r="AI7" i="16" a="1"/>
  <c r="AI15" i="16" a="1"/>
  <c r="AI8" i="16" a="1"/>
  <c r="AI13" i="16" a="1"/>
  <c r="AI13" i="20" a="1"/>
  <c r="AI8" i="20" a="1"/>
  <c r="AI6" i="20" a="1"/>
  <c r="AI12" i="20" a="1"/>
  <c r="AI14" i="16" a="1"/>
  <c r="AI9" i="16" a="1"/>
  <c r="AI17" i="16" a="1"/>
  <c r="AI15" i="20" a="1"/>
  <c r="AI14" i="20" a="1"/>
  <c r="AI11" i="20" a="1"/>
  <c r="AI10" i="20" a="1"/>
  <c r="AI9" i="20" a="1"/>
  <c r="AI16" i="20" a="1"/>
  <c r="AI16" i="16" a="1"/>
  <c r="AI17" i="20" a="1"/>
  <c r="AI7" i="20" a="1"/>
  <c r="G32" i="20" a="1"/>
  <c r="F32" i="20" a="1"/>
  <c r="E32" i="20" a="1"/>
  <c r="AI18" i="16" a="1"/>
  <c r="AI18" i="20" a="1"/>
  <c r="D22" i="16" l="1"/>
  <c r="D31" i="16"/>
  <c r="D31" i="20"/>
  <c r="D29" i="16"/>
  <c r="D24" i="16"/>
  <c r="D24" i="20"/>
  <c r="D28" i="20"/>
  <c r="D23" i="20"/>
  <c r="D22" i="20"/>
  <c r="D30" i="16"/>
  <c r="D30" i="20"/>
  <c r="D27" i="20"/>
  <c r="D25" i="20"/>
  <c r="D25" i="16"/>
  <c r="D26" i="16"/>
  <c r="D29" i="20"/>
  <c r="D32" i="16"/>
  <c r="D23" i="16"/>
  <c r="D28" i="16"/>
  <c r="D27" i="16"/>
  <c r="D26" i="20"/>
  <c r="BB15" i="19"/>
  <c r="BB18" i="19"/>
  <c r="BB12" i="19"/>
  <c r="BB16" i="19"/>
  <c r="BB17" i="19"/>
  <c r="BB9" i="19"/>
  <c r="BB10" i="19"/>
  <c r="BB6" i="19"/>
  <c r="BB8" i="19"/>
  <c r="BB11" i="19"/>
  <c r="BB14" i="19"/>
  <c r="BB7" i="19"/>
  <c r="BB13" i="19"/>
  <c r="AI6" i="20"/>
  <c r="AI8" i="20"/>
  <c r="AI13" i="20"/>
  <c r="AI13" i="16"/>
  <c r="AI8" i="16"/>
  <c r="AI15" i="16"/>
  <c r="AI7" i="16"/>
  <c r="AI6" i="16"/>
  <c r="AI10" i="16"/>
  <c r="AI12" i="16"/>
  <c r="AI11" i="16"/>
  <c r="AI7" i="20"/>
  <c r="AI17" i="20"/>
  <c r="AI16" i="16"/>
  <c r="AI16" i="20"/>
  <c r="AI9" i="20"/>
  <c r="AI10" i="20"/>
  <c r="AI11" i="20"/>
  <c r="AI14" i="20"/>
  <c r="AI15" i="20"/>
  <c r="AI17" i="16"/>
  <c r="AI9" i="16"/>
  <c r="AI14" i="16"/>
  <c r="AI12" i="20"/>
  <c r="AI18" i="20"/>
  <c r="AI18" i="16"/>
  <c r="E32" i="20"/>
  <c r="F32" i="20"/>
  <c r="G32" i="20"/>
  <c r="BC10" i="20"/>
  <c r="BC13" i="20"/>
  <c r="BC16" i="16"/>
  <c r="BC6" i="16"/>
  <c r="BC16" i="20"/>
  <c r="BC11" i="20"/>
  <c r="BC9" i="16"/>
  <c r="BC11" i="16"/>
  <c r="BC8" i="20"/>
  <c r="BC14" i="16"/>
  <c r="BC6" i="20"/>
  <c r="BC10" i="16"/>
  <c r="BC12" i="20"/>
  <c r="BC15" i="20"/>
  <c r="BC9" i="20"/>
  <c r="BC8" i="16"/>
  <c r="BC7" i="20"/>
  <c r="BC13" i="16"/>
  <c r="BC14" i="20"/>
  <c r="BC15" i="16"/>
  <c r="BC7" i="16"/>
  <c r="BC12" i="16"/>
  <c r="D32" i="20" a="1"/>
  <c r="BC15" i="19" a="1"/>
  <c r="BC18" i="19" a="1"/>
  <c r="BC12" i="19" a="1"/>
  <c r="BC16" i="19" a="1"/>
  <c r="BC17" i="19" a="1"/>
  <c r="BC9" i="19" a="1"/>
  <c r="BC10" i="19" a="1"/>
  <c r="BC6" i="19" a="1"/>
  <c r="BC8" i="19" a="1"/>
  <c r="BC11" i="19" a="1"/>
  <c r="BC14" i="19" a="1"/>
  <c r="BC7" i="19" a="1"/>
  <c r="BC13" i="19" a="1"/>
  <c r="AJ6" i="20" a="1"/>
  <c r="AJ7" i="16" a="1"/>
  <c r="AJ8" i="20" a="1"/>
  <c r="AJ6" i="16" a="1"/>
  <c r="AJ13" i="20" a="1"/>
  <c r="AJ11" i="16" a="1"/>
  <c r="AJ10" i="16" a="1"/>
  <c r="AJ12" i="16" a="1"/>
  <c r="AJ13" i="16" a="1"/>
  <c r="AJ8" i="16" a="1"/>
  <c r="AJ15" i="16" a="1"/>
  <c r="AJ7" i="20" a="1"/>
  <c r="AJ12" i="20" a="1"/>
  <c r="AJ17" i="20" a="1"/>
  <c r="AJ16" i="16" a="1"/>
  <c r="AJ17" i="16" a="1"/>
  <c r="AJ16" i="20" a="1"/>
  <c r="AJ9" i="20" a="1"/>
  <c r="AJ10" i="20" a="1"/>
  <c r="AJ11" i="20" a="1"/>
  <c r="AJ14" i="20" a="1"/>
  <c r="AJ14" i="16" a="1"/>
  <c r="AJ15" i="20" a="1"/>
  <c r="AJ9" i="16" a="1"/>
  <c r="AJ18" i="20" a="1"/>
  <c r="AJ18" i="16" a="1"/>
  <c r="D32" i="20" l="1"/>
  <c r="BC13" i="19"/>
  <c r="AD13" i="19" s="1"/>
  <c r="BC7" i="19"/>
  <c r="AC7" i="19" s="1"/>
  <c r="BC14" i="19"/>
  <c r="AD14" i="19" s="1"/>
  <c r="BC11" i="19"/>
  <c r="AC11" i="19" s="1"/>
  <c r="BC8" i="19"/>
  <c r="BC6" i="19"/>
  <c r="AC6" i="19" s="1"/>
  <c r="BC10" i="19"/>
  <c r="BC9" i="19"/>
  <c r="AC9" i="19" s="1"/>
  <c r="BC17" i="19"/>
  <c r="BC16" i="19"/>
  <c r="BC12" i="19"/>
  <c r="BC18" i="19"/>
  <c r="BC15" i="19"/>
  <c r="AJ15" i="16"/>
  <c r="AJ8" i="16"/>
  <c r="AJ13" i="16"/>
  <c r="AJ12" i="16"/>
  <c r="AJ10" i="16"/>
  <c r="AJ11" i="16"/>
  <c r="AJ13" i="20"/>
  <c r="AJ6" i="16"/>
  <c r="AJ8" i="20"/>
  <c r="AJ7" i="16"/>
  <c r="AJ6" i="20"/>
  <c r="AJ9" i="16"/>
  <c r="AJ15" i="20"/>
  <c r="AJ14" i="16"/>
  <c r="AJ14" i="20"/>
  <c r="AJ11" i="20"/>
  <c r="AJ10" i="20"/>
  <c r="AJ9" i="20"/>
  <c r="AJ16" i="20"/>
  <c r="AJ17" i="16"/>
  <c r="AJ16" i="16"/>
  <c r="AJ17" i="20"/>
  <c r="AJ12" i="20"/>
  <c r="AJ7" i="20"/>
  <c r="AJ18" i="16"/>
  <c r="AJ18" i="20"/>
  <c r="AK15" i="16" a="1"/>
  <c r="AK8" i="16" a="1"/>
  <c r="AK13" i="16" a="1"/>
  <c r="AK12" i="16" a="1"/>
  <c r="AK10" i="16" a="1"/>
  <c r="AK11" i="16" a="1"/>
  <c r="AK13" i="20" a="1"/>
  <c r="AK6" i="16" a="1"/>
  <c r="AK8" i="20" a="1"/>
  <c r="AK7" i="16" a="1"/>
  <c r="AK6" i="20" a="1"/>
  <c r="AK15" i="20" a="1"/>
  <c r="AK14" i="20" a="1"/>
  <c r="AK11" i="20" a="1"/>
  <c r="AK10" i="20" a="1"/>
  <c r="AK9" i="20" a="1"/>
  <c r="AK16" i="20" a="1"/>
  <c r="AK17" i="16" a="1"/>
  <c r="AK16" i="16" a="1"/>
  <c r="AK9" i="16" a="1"/>
  <c r="AK17" i="20" a="1"/>
  <c r="AK12" i="20" a="1"/>
  <c r="AK14" i="16" a="1"/>
  <c r="AK7" i="20" a="1"/>
  <c r="AK18" i="16" a="1"/>
  <c r="AK18" i="20" a="1"/>
  <c r="AD11" i="19" l="1"/>
  <c r="AE11" i="19" s="1"/>
  <c r="I32" i="19" s="1"/>
  <c r="AC13" i="19"/>
  <c r="AE13" i="19" s="1"/>
  <c r="I34" i="19" s="1"/>
  <c r="AD7" i="19"/>
  <c r="AE7" i="19" s="1"/>
  <c r="I28" i="19" s="1"/>
  <c r="AC14" i="19"/>
  <c r="AE14" i="19" s="1"/>
  <c r="I35" i="19" s="1"/>
  <c r="AC15" i="19"/>
  <c r="AD15" i="19"/>
  <c r="AC12" i="19"/>
  <c r="AD12" i="19"/>
  <c r="AC16" i="19"/>
  <c r="AD16" i="19"/>
  <c r="AC10" i="19"/>
  <c r="AD10" i="19"/>
  <c r="AD8" i="19"/>
  <c r="AC8" i="19"/>
  <c r="AD9" i="19"/>
  <c r="AE9" i="19" s="1"/>
  <c r="I30" i="19" s="1"/>
  <c r="AD6" i="19"/>
  <c r="AE6" i="19" s="1"/>
  <c r="I27" i="19" s="1"/>
  <c r="AK6" i="20"/>
  <c r="AK7" i="16"/>
  <c r="AK8" i="20"/>
  <c r="AK6" i="16"/>
  <c r="AK13" i="20"/>
  <c r="AK11" i="16"/>
  <c r="AK10" i="16"/>
  <c r="AK12" i="16"/>
  <c r="AK13" i="16"/>
  <c r="AK8" i="16"/>
  <c r="AK15" i="16"/>
  <c r="AK7" i="20"/>
  <c r="AK14" i="16"/>
  <c r="AK12" i="20"/>
  <c r="AK17" i="20"/>
  <c r="AK9" i="16"/>
  <c r="AK16" i="16"/>
  <c r="AK17" i="16"/>
  <c r="AK16" i="20"/>
  <c r="AK9" i="20"/>
  <c r="AK10" i="20"/>
  <c r="AK11" i="20"/>
  <c r="AK14" i="20"/>
  <c r="AK15" i="20"/>
  <c r="AK18" i="20"/>
  <c r="AK18" i="16"/>
  <c r="AL6" i="20" a="1"/>
  <c r="AL7" i="16" a="1"/>
  <c r="AL8" i="20" a="1"/>
  <c r="AL6" i="16" a="1"/>
  <c r="AL13" i="20" a="1"/>
  <c r="AL11" i="16" a="1"/>
  <c r="AL10" i="16" a="1"/>
  <c r="AL12" i="16" a="1"/>
  <c r="AL13" i="16" a="1"/>
  <c r="AL8" i="16" a="1"/>
  <c r="AL15" i="16" a="1"/>
  <c r="AL7" i="20" a="1"/>
  <c r="AL14" i="16" a="1"/>
  <c r="AL12" i="20" a="1"/>
  <c r="AL17" i="20" a="1"/>
  <c r="AL9" i="16" a="1"/>
  <c r="AL16" i="16" a="1"/>
  <c r="AL17" i="16" a="1"/>
  <c r="AL16" i="20" a="1"/>
  <c r="AL14" i="20" a="1"/>
  <c r="AL9" i="20" a="1"/>
  <c r="AL10" i="20" a="1"/>
  <c r="AL11" i="20" a="1"/>
  <c r="AL15" i="20" a="1"/>
  <c r="AL18" i="20" a="1"/>
  <c r="AL18" i="16" a="1"/>
  <c r="AE8" i="19" l="1"/>
  <c r="I29" i="19" s="1"/>
  <c r="AE10" i="19"/>
  <c r="I31" i="19" s="1"/>
  <c r="AE16" i="19"/>
  <c r="I37" i="19" s="1"/>
  <c r="AE12" i="19"/>
  <c r="I33" i="19" s="1"/>
  <c r="AE15" i="19"/>
  <c r="I36" i="19" s="1"/>
  <c r="AL15" i="16"/>
  <c r="AL8" i="16"/>
  <c r="AL13" i="16"/>
  <c r="AL12" i="16"/>
  <c r="AL10" i="16"/>
  <c r="AL11" i="16"/>
  <c r="AL13" i="20"/>
  <c r="AL6" i="16"/>
  <c r="AL8" i="20"/>
  <c r="AL7" i="16"/>
  <c r="AL6" i="20"/>
  <c r="AL15" i="20"/>
  <c r="AL11" i="20"/>
  <c r="AL10" i="20"/>
  <c r="AL9" i="20"/>
  <c r="AL14" i="20"/>
  <c r="AL16" i="20"/>
  <c r="AL17" i="16"/>
  <c r="AL16" i="16"/>
  <c r="AL9" i="16"/>
  <c r="AL17" i="20"/>
  <c r="AL12" i="20"/>
  <c r="AL14" i="16"/>
  <c r="AL7" i="20"/>
  <c r="AL18" i="16"/>
  <c r="AL18" i="20"/>
  <c r="AM13" i="16" a="1"/>
  <c r="AM6" i="16" a="1"/>
  <c r="AM8" i="20" a="1"/>
  <c r="AM6" i="20" a="1"/>
  <c r="AM15" i="16" a="1"/>
  <c r="AM8" i="16" a="1"/>
  <c r="AM12" i="16" a="1"/>
  <c r="AM10" i="16" a="1"/>
  <c r="AM11" i="16" a="1"/>
  <c r="AM13" i="20" a="1"/>
  <c r="AM7" i="16" a="1"/>
  <c r="AM10" i="20" a="1"/>
  <c r="AM14" i="20" a="1"/>
  <c r="AM16" i="20" a="1"/>
  <c r="AM17" i="16" a="1"/>
  <c r="AM9" i="20" a="1"/>
  <c r="AM16" i="16" a="1"/>
  <c r="AM9" i="16" a="1"/>
  <c r="AM17" i="20" a="1"/>
  <c r="AM12" i="20" a="1"/>
  <c r="AM14" i="16" a="1"/>
  <c r="AM15" i="20" a="1"/>
  <c r="AM7" i="20" a="1"/>
  <c r="AM11" i="20" a="1"/>
  <c r="AM18" i="16" a="1"/>
  <c r="AM18" i="20" a="1"/>
  <c r="AM6" i="20" l="1"/>
  <c r="AM8" i="20"/>
  <c r="AM6" i="16"/>
  <c r="AM13" i="16"/>
  <c r="AM7" i="16"/>
  <c r="AM13" i="20"/>
  <c r="AM11" i="16"/>
  <c r="AM10" i="16"/>
  <c r="AM12" i="16"/>
  <c r="AM8" i="16"/>
  <c r="AM15" i="16"/>
  <c r="AM11" i="20"/>
  <c r="AM7" i="20"/>
  <c r="AM15" i="20"/>
  <c r="AM14" i="16"/>
  <c r="AM12" i="20"/>
  <c r="AM17" i="20"/>
  <c r="AM9" i="16"/>
  <c r="AM16" i="16"/>
  <c r="AM9" i="20"/>
  <c r="AM17" i="16"/>
  <c r="AM16" i="20"/>
  <c r="AM14" i="20"/>
  <c r="AM10" i="20"/>
  <c r="AM18" i="20"/>
  <c r="AM18" i="16"/>
  <c r="AN7" i="16" a="1"/>
  <c r="AN11" i="16" a="1"/>
  <c r="AN6" i="20" a="1"/>
  <c r="AN10" i="16" a="1"/>
  <c r="AN15" i="16" a="1"/>
  <c r="AN13" i="20" a="1"/>
  <c r="AN13" i="16" a="1"/>
  <c r="AN12" i="16" a="1"/>
  <c r="AN6" i="16" a="1"/>
  <c r="AN8" i="16" a="1"/>
  <c r="AN8" i="20" a="1"/>
  <c r="AN12" i="20" a="1"/>
  <c r="AN17" i="20" a="1"/>
  <c r="AN9" i="16" a="1"/>
  <c r="AN16" i="16" a="1"/>
  <c r="AN9" i="20" a="1"/>
  <c r="AN17" i="16" a="1"/>
  <c r="AN16" i="20" a="1"/>
  <c r="AN11" i="20" a="1"/>
  <c r="AN14" i="20" a="1"/>
  <c r="AN7" i="20" a="1"/>
  <c r="AN10" i="20" a="1"/>
  <c r="AN15" i="20" a="1"/>
  <c r="AN14" i="16" a="1"/>
  <c r="AN18" i="16" a="1"/>
  <c r="AN18" i="20" a="1"/>
  <c r="AN8" i="20" l="1"/>
  <c r="AN8" i="16"/>
  <c r="AN6" i="16"/>
  <c r="AN12" i="16"/>
  <c r="AN13" i="16"/>
  <c r="AN13" i="20"/>
  <c r="AN15" i="16"/>
  <c r="AN10" i="16"/>
  <c r="AN6" i="20"/>
  <c r="AN11" i="16"/>
  <c r="AN7" i="16"/>
  <c r="AN14" i="16"/>
  <c r="AN15" i="20"/>
  <c r="AN10" i="20"/>
  <c r="AN7" i="20"/>
  <c r="AN14" i="20"/>
  <c r="AN11" i="20"/>
  <c r="AN16" i="20"/>
  <c r="AN17" i="16"/>
  <c r="AN9" i="20"/>
  <c r="AN16" i="16"/>
  <c r="AN9" i="16"/>
  <c r="AN17" i="20"/>
  <c r="AN12" i="20"/>
  <c r="AN18" i="20"/>
  <c r="AN18" i="16"/>
  <c r="AO8" i="20" a="1"/>
  <c r="AO13" i="16" a="1"/>
  <c r="AO15" i="16" a="1"/>
  <c r="AO10" i="16" a="1"/>
  <c r="AO6" i="20" a="1"/>
  <c r="AO6" i="16" a="1"/>
  <c r="AO12" i="16" a="1"/>
  <c r="AO8" i="16" a="1"/>
  <c r="AO13" i="20" a="1"/>
  <c r="AO11" i="16" a="1"/>
  <c r="AO7" i="16" a="1"/>
  <c r="AO14" i="16" a="1"/>
  <c r="AO7" i="20" a="1"/>
  <c r="AO14" i="20" a="1"/>
  <c r="AO9" i="20" a="1"/>
  <c r="AO9" i="16" a="1"/>
  <c r="AO17" i="20" a="1"/>
  <c r="AO12" i="20" a="1"/>
  <c r="AO15" i="20" a="1"/>
  <c r="AO10" i="20" a="1"/>
  <c r="AO11" i="20" a="1"/>
  <c r="AO17" i="16" a="1"/>
  <c r="AO16" i="20" a="1"/>
  <c r="AO16" i="16" a="1"/>
  <c r="AO18" i="16" a="1"/>
  <c r="AO18" i="20" a="1"/>
  <c r="AO12" i="16" l="1"/>
  <c r="AO6" i="16"/>
  <c r="AO6" i="20"/>
  <c r="AO10" i="16"/>
  <c r="AO15" i="16"/>
  <c r="AO13" i="16"/>
  <c r="AO8" i="20"/>
  <c r="AO7" i="16"/>
  <c r="AO11" i="16"/>
  <c r="AO13" i="20"/>
  <c r="AO8" i="16"/>
  <c r="AO16" i="16"/>
  <c r="AO16" i="20"/>
  <c r="AO17" i="16"/>
  <c r="AO11" i="20"/>
  <c r="AO10" i="20"/>
  <c r="AO15" i="20"/>
  <c r="AO12" i="20"/>
  <c r="AO17" i="20"/>
  <c r="AO9" i="16"/>
  <c r="AO9" i="20"/>
  <c r="AO14" i="20"/>
  <c r="AO7" i="20"/>
  <c r="AO14" i="16"/>
  <c r="AO18" i="20"/>
  <c r="AO18" i="16"/>
  <c r="AP7" i="16" a="1"/>
  <c r="AP13" i="16" a="1"/>
  <c r="AP15" i="16" a="1"/>
  <c r="AP6" i="20" a="1"/>
  <c r="AP11" i="16" a="1"/>
  <c r="AP8" i="20" a="1"/>
  <c r="AP13" i="20" a="1"/>
  <c r="AP8" i="16" a="1"/>
  <c r="AP10" i="16" a="1"/>
  <c r="AP12" i="16" a="1"/>
  <c r="AP6" i="16" a="1"/>
  <c r="AP16" i="16" a="1"/>
  <c r="AP17" i="16" a="1"/>
  <c r="AP11" i="20" a="1"/>
  <c r="AP10" i="20" a="1"/>
  <c r="AP12" i="20" a="1"/>
  <c r="AP9" i="16" a="1"/>
  <c r="AP16" i="20" a="1"/>
  <c r="AP14" i="16" a="1"/>
  <c r="AP17" i="20" a="1"/>
  <c r="AP14" i="20" a="1"/>
  <c r="AP7" i="20" a="1"/>
  <c r="AP15" i="20" a="1"/>
  <c r="AP9" i="20" a="1"/>
  <c r="AP18" i="16" a="1"/>
  <c r="AP18" i="20" a="1"/>
  <c r="AP6" i="16" l="1"/>
  <c r="AP12" i="16"/>
  <c r="AP10" i="16"/>
  <c r="AP8" i="16"/>
  <c r="AP13" i="20"/>
  <c r="AP8" i="20"/>
  <c r="AP11" i="16"/>
  <c r="AP6" i="20"/>
  <c r="AP15" i="16"/>
  <c r="AP13" i="16"/>
  <c r="AP7" i="16"/>
  <c r="AP9" i="20"/>
  <c r="AP15" i="20"/>
  <c r="AP7" i="20"/>
  <c r="AP14" i="20"/>
  <c r="AP17" i="20"/>
  <c r="AP14" i="16"/>
  <c r="AP16" i="20"/>
  <c r="AP9" i="16"/>
  <c r="AP12" i="20"/>
  <c r="AP10" i="20"/>
  <c r="AP11" i="20"/>
  <c r="AP17" i="16"/>
  <c r="AP16" i="16"/>
  <c r="AP18" i="20"/>
  <c r="AP18" i="16"/>
  <c r="AQ6" i="16" a="1"/>
  <c r="AQ13" i="20" a="1"/>
  <c r="AQ8" i="20" a="1"/>
  <c r="AQ6" i="20" a="1"/>
  <c r="AQ13" i="16" a="1"/>
  <c r="AQ12" i="16" a="1"/>
  <c r="AQ11" i="16" a="1"/>
  <c r="AQ7" i="16" a="1"/>
  <c r="AQ10" i="16" a="1"/>
  <c r="AQ8" i="16" a="1"/>
  <c r="AQ15" i="16" a="1"/>
  <c r="AQ9" i="20" a="1"/>
  <c r="AQ15" i="20" a="1"/>
  <c r="AQ16" i="16" a="1"/>
  <c r="AQ7" i="20" a="1"/>
  <c r="AQ17" i="20" a="1"/>
  <c r="AQ14" i="16" a="1"/>
  <c r="AQ16" i="20" a="1"/>
  <c r="AQ9" i="16" a="1"/>
  <c r="AQ12" i="20" a="1"/>
  <c r="AQ10" i="20" a="1"/>
  <c r="AQ17" i="16" a="1"/>
  <c r="AQ14" i="20" a="1"/>
  <c r="AQ11" i="20" a="1"/>
  <c r="AQ18" i="20" a="1"/>
  <c r="AQ18" i="16" a="1"/>
  <c r="AQ13" i="16" l="1"/>
  <c r="AQ6" i="20"/>
  <c r="AQ8" i="20"/>
  <c r="AQ13" i="20"/>
  <c r="AQ6" i="16"/>
  <c r="AQ15" i="16"/>
  <c r="AQ8" i="16"/>
  <c r="AQ10" i="16"/>
  <c r="AQ7" i="16"/>
  <c r="AQ11" i="16"/>
  <c r="AQ12" i="16"/>
  <c r="AQ11" i="20"/>
  <c r="AQ14" i="20"/>
  <c r="AQ17" i="16"/>
  <c r="AQ10" i="20"/>
  <c r="AQ12" i="20"/>
  <c r="AQ9" i="16"/>
  <c r="AQ16" i="20"/>
  <c r="AQ14" i="16"/>
  <c r="AQ17" i="20"/>
  <c r="AQ7" i="20"/>
  <c r="AQ16" i="16"/>
  <c r="AQ15" i="20"/>
  <c r="AQ9" i="20"/>
  <c r="AQ18" i="16"/>
  <c r="AQ18" i="20"/>
  <c r="AR13" i="16" a="1"/>
  <c r="AR6" i="20" a="1"/>
  <c r="AR8" i="20" a="1"/>
  <c r="AR13" i="20" a="1"/>
  <c r="AR6" i="16" a="1"/>
  <c r="AR11" i="16" a="1"/>
  <c r="AR7" i="16" a="1"/>
  <c r="AR15" i="16" a="1"/>
  <c r="AR8" i="16" a="1"/>
  <c r="AR10" i="16" a="1"/>
  <c r="AR12" i="16" a="1"/>
  <c r="AR11" i="20" a="1"/>
  <c r="AR14" i="20" a="1"/>
  <c r="AR17" i="16" a="1"/>
  <c r="AR10" i="20" a="1"/>
  <c r="AR12" i="20" a="1"/>
  <c r="AR9" i="16" a="1"/>
  <c r="AR16" i="20" a="1"/>
  <c r="AR14" i="16" a="1"/>
  <c r="AR17" i="20" a="1"/>
  <c r="AR7" i="20" a="1"/>
  <c r="AR16" i="16" a="1"/>
  <c r="AR15" i="20" a="1"/>
  <c r="AR9" i="20" a="1"/>
  <c r="AR18" i="16" a="1"/>
  <c r="AR18" i="20" a="1"/>
  <c r="AR7" i="16" l="1"/>
  <c r="AR11" i="16"/>
  <c r="AR6" i="16"/>
  <c r="AR13" i="20"/>
  <c r="AR8" i="20"/>
  <c r="AR6" i="20"/>
  <c r="AR13" i="16"/>
  <c r="AR12" i="16"/>
  <c r="AR10" i="16"/>
  <c r="AR8" i="16"/>
  <c r="AR15" i="16"/>
  <c r="AR9" i="20"/>
  <c r="AR15" i="20"/>
  <c r="AR16" i="16"/>
  <c r="AR7" i="20"/>
  <c r="AR17" i="20"/>
  <c r="AR14" i="16"/>
  <c r="AR16" i="20"/>
  <c r="AR9" i="16"/>
  <c r="AR12" i="20"/>
  <c r="AR10" i="20"/>
  <c r="AR17" i="16"/>
  <c r="AR14" i="20"/>
  <c r="AR11" i="20"/>
  <c r="AR18" i="20"/>
  <c r="AR18" i="16"/>
  <c r="AS7" i="16" a="1"/>
  <c r="AS11" i="16" a="1"/>
  <c r="AS6" i="16" a="1"/>
  <c r="AS13" i="20" a="1"/>
  <c r="AS8" i="20" a="1"/>
  <c r="AS13" i="16" a="1"/>
  <c r="AS12" i="16" a="1"/>
  <c r="AS6" i="20" a="1"/>
  <c r="AS8" i="16" a="1"/>
  <c r="AS10" i="16" a="1"/>
  <c r="AS15" i="16" a="1"/>
  <c r="AS14" i="20" a="1"/>
  <c r="AS17" i="16" a="1"/>
  <c r="AS9" i="20" a="1"/>
  <c r="AS11" i="20" a="1"/>
  <c r="AS16" i="16" a="1"/>
  <c r="AS7" i="20" a="1"/>
  <c r="AS9" i="16" a="1"/>
  <c r="AS12" i="20" a="1"/>
  <c r="AS17" i="20" a="1"/>
  <c r="AS14" i="16" a="1"/>
  <c r="AS16" i="20" a="1"/>
  <c r="AS15" i="20" a="1"/>
  <c r="AS10" i="20" a="1"/>
  <c r="AS18" i="20" a="1"/>
  <c r="AS18" i="16" a="1"/>
  <c r="AS15" i="16" l="1"/>
  <c r="AS10" i="16"/>
  <c r="AS8" i="16"/>
  <c r="AS6" i="20"/>
  <c r="AS12" i="16"/>
  <c r="AS13" i="16"/>
  <c r="AS8" i="20"/>
  <c r="AS13" i="20"/>
  <c r="AS6" i="16"/>
  <c r="AS11" i="16"/>
  <c r="AS7" i="16"/>
  <c r="AS10" i="20"/>
  <c r="AS15" i="20"/>
  <c r="AS16" i="20"/>
  <c r="AS14" i="16"/>
  <c r="AS17" i="20"/>
  <c r="AS12" i="20"/>
  <c r="AS9" i="16"/>
  <c r="AS7" i="20"/>
  <c r="AS16" i="16"/>
  <c r="AS11" i="20"/>
  <c r="AS9" i="20"/>
  <c r="AS17" i="16"/>
  <c r="AS14" i="20"/>
  <c r="AS18" i="16"/>
  <c r="AS18" i="20"/>
  <c r="AT10" i="16" a="1"/>
  <c r="AT6" i="20" a="1"/>
  <c r="AT12" i="16" a="1"/>
  <c r="AT13" i="16" a="1"/>
  <c r="AT8" i="20" a="1"/>
  <c r="AT6" i="16" a="1"/>
  <c r="AT8" i="16" a="1"/>
  <c r="AT13" i="20" a="1"/>
  <c r="AT14" i="20" a="1"/>
  <c r="AT10" i="20" a="1"/>
  <c r="AT15" i="20" a="1"/>
  <c r="AT14" i="16" a="1"/>
  <c r="AT17" i="20" a="1"/>
  <c r="AT12" i="20" a="1"/>
  <c r="AT9" i="16" a="1"/>
  <c r="AT16" i="16" a="1"/>
  <c r="AT16" i="20" a="1"/>
  <c r="AT9" i="20" a="1"/>
  <c r="AT7" i="20" a="1"/>
  <c r="AT11" i="20" a="1"/>
  <c r="AT17" i="16" a="1"/>
  <c r="AT11" i="16" a="1"/>
  <c r="AT7" i="16" a="1"/>
  <c r="AT15" i="16" a="1"/>
  <c r="AT18" i="20" a="1"/>
  <c r="AT18" i="16" a="1"/>
  <c r="AT13" i="20" l="1"/>
  <c r="AT8" i="16"/>
  <c r="AT6" i="16"/>
  <c r="AT8" i="20"/>
  <c r="AT13" i="16"/>
  <c r="AT12" i="16"/>
  <c r="AT6" i="20"/>
  <c r="AT10" i="16"/>
  <c r="AT17" i="16"/>
  <c r="AT11" i="20"/>
  <c r="AT7" i="20"/>
  <c r="AT9" i="20"/>
  <c r="AT16" i="20"/>
  <c r="AT16" i="16"/>
  <c r="AT9" i="16"/>
  <c r="AT12" i="20"/>
  <c r="AT17" i="20"/>
  <c r="AT14" i="16"/>
  <c r="AT15" i="20"/>
  <c r="AT10" i="20"/>
  <c r="AT14" i="20"/>
  <c r="AT15" i="16"/>
  <c r="AT7" i="16"/>
  <c r="AT11" i="16"/>
  <c r="AT18" i="16"/>
  <c r="AT18" i="20"/>
  <c r="AU8" i="16" a="1"/>
  <c r="AU11" i="16" a="1"/>
  <c r="AU6" i="20" a="1"/>
  <c r="AU8" i="20" a="1"/>
  <c r="AU17" i="16" a="1"/>
  <c r="AU14" i="20" a="1"/>
  <c r="AU11" i="20" a="1"/>
  <c r="AU13" i="20" a="1"/>
  <c r="AU7" i="20" a="1"/>
  <c r="AU9" i="20" a="1"/>
  <c r="AU16" i="20" a="1"/>
  <c r="AU6" i="16" a="1"/>
  <c r="AU16" i="16" a="1"/>
  <c r="AU9" i="16" a="1"/>
  <c r="AU12" i="20" a="1"/>
  <c r="AU14" i="16" a="1"/>
  <c r="AU10" i="20" a="1"/>
  <c r="AU17" i="20" a="1"/>
  <c r="AU15" i="20" a="1"/>
  <c r="AU12" i="16" a="1"/>
  <c r="AU15" i="16" a="1"/>
  <c r="AU13" i="16" a="1"/>
  <c r="AU7" i="16" a="1"/>
  <c r="AU10" i="16" a="1"/>
  <c r="AU18" i="20" a="1"/>
  <c r="AU18" i="16" a="1"/>
  <c r="AU8" i="20" l="1"/>
  <c r="AU6" i="20"/>
  <c r="AU11" i="16"/>
  <c r="AU8" i="16"/>
  <c r="AU12" i="16"/>
  <c r="AU15" i="20"/>
  <c r="AU17" i="20"/>
  <c r="AU10" i="20"/>
  <c r="AU14" i="16"/>
  <c r="AU12" i="20"/>
  <c r="AU9" i="16"/>
  <c r="AU16" i="16"/>
  <c r="AU6" i="16"/>
  <c r="AU16" i="20"/>
  <c r="AU9" i="20"/>
  <c r="AU7" i="20"/>
  <c r="AU13" i="20"/>
  <c r="AU11" i="20"/>
  <c r="AU14" i="20"/>
  <c r="AU17" i="16"/>
  <c r="AU7" i="16"/>
  <c r="AU13" i="16"/>
  <c r="AU15" i="16"/>
  <c r="AU10" i="16"/>
  <c r="AU18" i="16"/>
  <c r="AU18" i="20"/>
  <c r="AV6" i="20" a="1"/>
  <c r="AV17" i="20" a="1"/>
  <c r="AV14" i="16" a="1"/>
  <c r="AV12" i="20" a="1"/>
  <c r="AV9" i="16" a="1"/>
  <c r="AV16" i="16" a="1"/>
  <c r="AV6" i="16" a="1"/>
  <c r="AV16" i="20" a="1"/>
  <c r="AV9" i="20" a="1"/>
  <c r="AV7" i="20" a="1"/>
  <c r="AV13" i="20" a="1"/>
  <c r="AV8" i="20" a="1"/>
  <c r="AV11" i="20" a="1"/>
  <c r="AV12" i="16" a="1"/>
  <c r="AV14" i="20" a="1"/>
  <c r="AV15" i="20" a="1"/>
  <c r="AV17" i="16" a="1"/>
  <c r="AV10" i="20" a="1"/>
  <c r="AV8" i="16" a="1"/>
  <c r="AV15" i="16" a="1"/>
  <c r="AV11" i="16" a="1"/>
  <c r="AV13" i="16" a="1"/>
  <c r="AV7" i="16" a="1"/>
  <c r="AV10" i="16" a="1"/>
  <c r="AV18" i="16" a="1"/>
  <c r="AV18" i="20" a="1"/>
  <c r="AV10" i="20" l="1"/>
  <c r="AV17" i="16"/>
  <c r="AV15" i="20"/>
  <c r="AV14" i="20"/>
  <c r="AV12" i="16"/>
  <c r="AV11" i="20"/>
  <c r="AV8" i="20"/>
  <c r="AV13" i="20"/>
  <c r="AV7" i="20"/>
  <c r="AV9" i="20"/>
  <c r="AV16" i="20"/>
  <c r="AV6" i="16"/>
  <c r="AV16" i="16"/>
  <c r="AV9" i="16"/>
  <c r="AV12" i="20"/>
  <c r="AV14" i="16"/>
  <c r="AV17" i="20"/>
  <c r="AV6" i="20"/>
  <c r="AV7" i="16"/>
  <c r="AV13" i="16"/>
  <c r="AV11" i="16"/>
  <c r="AV15" i="16"/>
  <c r="AV8" i="16"/>
  <c r="AV10" i="16"/>
  <c r="AV18" i="20"/>
  <c r="AV18" i="16"/>
  <c r="AW10" i="20" a="1"/>
  <c r="AW17" i="20" a="1"/>
  <c r="AW17" i="16" a="1"/>
  <c r="AW6" i="20" a="1"/>
  <c r="AW15" i="20" a="1"/>
  <c r="AW14" i="20" a="1"/>
  <c r="AW12" i="16" a="1"/>
  <c r="AW11" i="20" a="1"/>
  <c r="AW8" i="20" a="1"/>
  <c r="AW13" i="20" a="1"/>
  <c r="AW7" i="20" a="1"/>
  <c r="AW12" i="20" a="1"/>
  <c r="AW9" i="20" a="1"/>
  <c r="AW16" i="16" a="1"/>
  <c r="AW9" i="16" a="1"/>
  <c r="AW14" i="16" a="1"/>
  <c r="AW16" i="20" a="1"/>
  <c r="AW6" i="16" a="1"/>
  <c r="AW7" i="16" a="1"/>
  <c r="AW11" i="16" a="1"/>
  <c r="AW15" i="16" a="1"/>
  <c r="AW13" i="16" a="1"/>
  <c r="AW8" i="16" a="1"/>
  <c r="AW10" i="16" a="1"/>
  <c r="AW18" i="20" a="1"/>
  <c r="AW18" i="16" a="1"/>
  <c r="AW6" i="16" l="1"/>
  <c r="AW16" i="20"/>
  <c r="AW14" i="16"/>
  <c r="AW9" i="16"/>
  <c r="AW16" i="16"/>
  <c r="AW9" i="20"/>
  <c r="AW12" i="20"/>
  <c r="AW7" i="20"/>
  <c r="AW13" i="20"/>
  <c r="AW8" i="20"/>
  <c r="AW11" i="20"/>
  <c r="AW12" i="16"/>
  <c r="AW14" i="20"/>
  <c r="AW15" i="20"/>
  <c r="AW6" i="20"/>
  <c r="AW17" i="16"/>
  <c r="AW17" i="20"/>
  <c r="AW10" i="20"/>
  <c r="AW8" i="16"/>
  <c r="AW13" i="16"/>
  <c r="AW15" i="16"/>
  <c r="AW11" i="16"/>
  <c r="AW7" i="16"/>
  <c r="AW10" i="16"/>
  <c r="AW18" i="16"/>
  <c r="AW18" i="20"/>
  <c r="AX17" i="20" a="1"/>
  <c r="AX16" i="16" a="1"/>
  <c r="AX12" i="20" a="1"/>
  <c r="AX9" i="16" a="1"/>
  <c r="AX14" i="16" a="1"/>
  <c r="AX11" i="20" a="1"/>
  <c r="AX14" i="20" a="1"/>
  <c r="AX6" i="20" a="1"/>
  <c r="AX6" i="16" a="1"/>
  <c r="AX16" i="20" a="1"/>
  <c r="AX13" i="20" a="1"/>
  <c r="AX10" i="20" a="1"/>
  <c r="AX9" i="20" a="1"/>
  <c r="AX17" i="16" a="1"/>
  <c r="AX12" i="16" a="1"/>
  <c r="AX7" i="20" a="1"/>
  <c r="AX15" i="20" a="1"/>
  <c r="AX8" i="20" a="1"/>
  <c r="AX8" i="16" a="1"/>
  <c r="AX13" i="16" a="1"/>
  <c r="AX15" i="16" a="1"/>
  <c r="AX11" i="16" a="1"/>
  <c r="AX7" i="16" a="1"/>
  <c r="AX10" i="16" a="1"/>
  <c r="AX18" i="20" a="1"/>
  <c r="AX18" i="16" a="1"/>
  <c r="AX14" i="20" l="1"/>
  <c r="AX11" i="20"/>
  <c r="AX14" i="16"/>
  <c r="AX9" i="16"/>
  <c r="AX12" i="20"/>
  <c r="AX16" i="16"/>
  <c r="AX17" i="20"/>
  <c r="AX8" i="20"/>
  <c r="AX15" i="20"/>
  <c r="AX7" i="20"/>
  <c r="AX12" i="16"/>
  <c r="AX17" i="16"/>
  <c r="AX9" i="20"/>
  <c r="AX10" i="20"/>
  <c r="AX13" i="20"/>
  <c r="AX16" i="20"/>
  <c r="AX6" i="16"/>
  <c r="AX6" i="20"/>
  <c r="AX7" i="16"/>
  <c r="AX11" i="16"/>
  <c r="AX15" i="16"/>
  <c r="AX13" i="16"/>
  <c r="AX8" i="16"/>
  <c r="AX10" i="16"/>
  <c r="AX18" i="16"/>
  <c r="AX18" i="20"/>
  <c r="AY14" i="20" a="1"/>
  <c r="AY6" i="16" a="1"/>
  <c r="AY16" i="16" a="1"/>
  <c r="AY8" i="20" a="1"/>
  <c r="AY9" i="20" a="1"/>
  <c r="AY11" i="20" a="1"/>
  <c r="AY6" i="20" a="1"/>
  <c r="AY14" i="16" a="1"/>
  <c r="AY17" i="20" a="1"/>
  <c r="AY17" i="16" a="1"/>
  <c r="AY10" i="20" a="1"/>
  <c r="AY9" i="16" a="1"/>
  <c r="AY15" i="20" a="1"/>
  <c r="AY13" i="20" a="1"/>
  <c r="AY16" i="20" a="1"/>
  <c r="AY12" i="20" a="1"/>
  <c r="AY7" i="20" a="1"/>
  <c r="AY12" i="16" a="1"/>
  <c r="AY7" i="16" a="1"/>
  <c r="AY13" i="16" a="1"/>
  <c r="AY8" i="16" a="1"/>
  <c r="AY11" i="16" a="1"/>
  <c r="AY15" i="16" a="1"/>
  <c r="AY10" i="16" a="1"/>
  <c r="AY18" i="20" a="1"/>
  <c r="AY18" i="16" a="1"/>
  <c r="AY12" i="16" l="1"/>
  <c r="AY7" i="20"/>
  <c r="AY12" i="20"/>
  <c r="AY16" i="20"/>
  <c r="AY13" i="20"/>
  <c r="AY15" i="20"/>
  <c r="AY9" i="16"/>
  <c r="AY10" i="20"/>
  <c r="AY17" i="16"/>
  <c r="AY17" i="20"/>
  <c r="AY14" i="16"/>
  <c r="AY6" i="20"/>
  <c r="AY11" i="20"/>
  <c r="AY9" i="20"/>
  <c r="AY8" i="20"/>
  <c r="AY16" i="16"/>
  <c r="AY6" i="16"/>
  <c r="AY14" i="20"/>
  <c r="AY15" i="16"/>
  <c r="AY11" i="16"/>
  <c r="AY8" i="16"/>
  <c r="AY13" i="16"/>
  <c r="AY7" i="16"/>
  <c r="AY10" i="16"/>
  <c r="AY18" i="16"/>
  <c r="AY18" i="20"/>
  <c r="AZ12" i="16" a="1"/>
  <c r="AZ6" i="16" a="1"/>
  <c r="AZ14" i="20" a="1"/>
  <c r="AZ12" i="20" a="1"/>
  <c r="AZ13" i="20" a="1"/>
  <c r="AZ15" i="20" a="1"/>
  <c r="AZ10" i="20" a="1"/>
  <c r="AZ6" i="20" a="1"/>
  <c r="AZ11" i="20" a="1"/>
  <c r="AZ9" i="20" a="1"/>
  <c r="AZ8" i="20" a="1"/>
  <c r="AZ16" i="16" a="1"/>
  <c r="AZ7" i="20" a="1"/>
  <c r="AZ14" i="16" a="1"/>
  <c r="AZ16" i="20" a="1"/>
  <c r="AZ17" i="16" a="1"/>
  <c r="AZ17" i="20" a="1"/>
  <c r="AZ9" i="16" a="1"/>
  <c r="AZ11" i="16" a="1"/>
  <c r="AZ13" i="16" a="1"/>
  <c r="AZ7" i="16" a="1"/>
  <c r="AZ8" i="16" a="1"/>
  <c r="AZ15" i="16" a="1"/>
  <c r="AZ10" i="16" a="1"/>
  <c r="AZ18" i="16" a="1"/>
  <c r="AZ18" i="20" a="1"/>
  <c r="AZ9" i="16" l="1"/>
  <c r="AZ17" i="20"/>
  <c r="AZ17" i="16"/>
  <c r="AZ16" i="20"/>
  <c r="AZ14" i="16"/>
  <c r="AZ7" i="20"/>
  <c r="AZ16" i="16"/>
  <c r="AZ8" i="20"/>
  <c r="AZ9" i="20"/>
  <c r="AZ11" i="20"/>
  <c r="AZ6" i="20"/>
  <c r="AZ10" i="20"/>
  <c r="AZ15" i="20"/>
  <c r="AZ13" i="20"/>
  <c r="AZ12" i="20"/>
  <c r="AZ14" i="20"/>
  <c r="AZ6" i="16"/>
  <c r="AZ12" i="16"/>
  <c r="AZ15" i="16"/>
  <c r="AZ8" i="16"/>
  <c r="AZ7" i="16"/>
  <c r="AZ13" i="16"/>
  <c r="AZ11" i="16"/>
  <c r="AZ10" i="16"/>
  <c r="AZ18" i="20"/>
  <c r="AZ18" i="16"/>
  <c r="BA9" i="16" a="1"/>
  <c r="BA6" i="16" a="1"/>
  <c r="BA17" i="20" a="1"/>
  <c r="BA12" i="16" a="1"/>
  <c r="BA17" i="16" a="1"/>
  <c r="BA16" i="20" a="1"/>
  <c r="BA14" i="16" a="1"/>
  <c r="BA7" i="20" a="1"/>
  <c r="BA16" i="16" a="1"/>
  <c r="BA8" i="20" a="1"/>
  <c r="BA9" i="20" a="1"/>
  <c r="BA11" i="20" a="1"/>
  <c r="BA6" i="20" a="1"/>
  <c r="BA10" i="20" a="1"/>
  <c r="BA15" i="20" a="1"/>
  <c r="BA13" i="20" a="1"/>
  <c r="BA12" i="20" a="1"/>
  <c r="BA14" i="20" a="1"/>
  <c r="BA15" i="16" a="1"/>
  <c r="BA7" i="16" a="1"/>
  <c r="BA13" i="16" a="1"/>
  <c r="BA11" i="16" a="1"/>
  <c r="BA8" i="16" a="1"/>
  <c r="BA10" i="16" a="1"/>
  <c r="BA18" i="20" a="1"/>
  <c r="BA18" i="16" a="1"/>
  <c r="BA14" i="20" l="1"/>
  <c r="BA12" i="20"/>
  <c r="BA13" i="20"/>
  <c r="BA15" i="20"/>
  <c r="BA10" i="20"/>
  <c r="BA6" i="20"/>
  <c r="BA11" i="20"/>
  <c r="BA9" i="20"/>
  <c r="BA8" i="20"/>
  <c r="BA16" i="16"/>
  <c r="BA7" i="20"/>
  <c r="BA14" i="16"/>
  <c r="BA16" i="20"/>
  <c r="BA17" i="16"/>
  <c r="BA12" i="16"/>
  <c r="BA17" i="20"/>
  <c r="BA6" i="16"/>
  <c r="BA9" i="16"/>
  <c r="BA8" i="16"/>
  <c r="BA11" i="16"/>
  <c r="BA13" i="16"/>
  <c r="BA7" i="16"/>
  <c r="BA15" i="16"/>
  <c r="BA10" i="16"/>
  <c r="BA18" i="16"/>
  <c r="BA18" i="20"/>
  <c r="BB6" i="16" a="1"/>
  <c r="BB13" i="20" a="1"/>
  <c r="BB8" i="16" a="1"/>
  <c r="BB13" i="16" a="1"/>
  <c r="BB7" i="16" a="1"/>
  <c r="BB15" i="16" a="1"/>
  <c r="BB12" i="16" a="1"/>
  <c r="BB10" i="16" a="1"/>
  <c r="BB11" i="16" a="1"/>
  <c r="BB6" i="20" a="1"/>
  <c r="BB8" i="20" a="1"/>
  <c r="BB12" i="20" a="1"/>
  <c r="BB9" i="16" a="1"/>
  <c r="BB10" i="20" a="1"/>
  <c r="BB11" i="20" a="1"/>
  <c r="BB7" i="20" a="1"/>
  <c r="BB9" i="20" a="1"/>
  <c r="BB17" i="20" a="1"/>
  <c r="BB15" i="20" a="1"/>
  <c r="BB14" i="16" a="1"/>
  <c r="BB16" i="20" a="1"/>
  <c r="BB16" i="16" a="1"/>
  <c r="BB17" i="16" a="1"/>
  <c r="BB14" i="20" a="1"/>
  <c r="BB18" i="16" a="1"/>
  <c r="BB18" i="20" a="1"/>
  <c r="BB8" i="20" l="1"/>
  <c r="BB6" i="20"/>
  <c r="BB11" i="16"/>
  <c r="BB10" i="16"/>
  <c r="BB12" i="16"/>
  <c r="BB15" i="16"/>
  <c r="BB7" i="16"/>
  <c r="BB13" i="16"/>
  <c r="BB8" i="16"/>
  <c r="BB13" i="20"/>
  <c r="BB6" i="16"/>
  <c r="BB14" i="20"/>
  <c r="BB17" i="16"/>
  <c r="BB16" i="16"/>
  <c r="BB16" i="20"/>
  <c r="BB14" i="16"/>
  <c r="BB15" i="20"/>
  <c r="BB17" i="20"/>
  <c r="BB9" i="20"/>
  <c r="BB7" i="20"/>
  <c r="BB11" i="20"/>
  <c r="BB10" i="20"/>
  <c r="BB9" i="16"/>
  <c r="BB12" i="20"/>
  <c r="BB18" i="20"/>
  <c r="BB18" i="16"/>
  <c r="AC16" i="16" l="1"/>
  <c r="AB16" i="16"/>
  <c r="AC6" i="16"/>
  <c r="AC11" i="16"/>
  <c r="AC12" i="16"/>
  <c r="AB12" i="20"/>
  <c r="AC9" i="20"/>
  <c r="AB10" i="16"/>
  <c r="AB15" i="16"/>
  <c r="AB13" i="16"/>
  <c r="AB16" i="20"/>
  <c r="AB7" i="20"/>
  <c r="AB14" i="16"/>
  <c r="AC9" i="16"/>
  <c r="AC10" i="20"/>
  <c r="AC7" i="16"/>
  <c r="AC8" i="16"/>
  <c r="AB15" i="20"/>
  <c r="AB14" i="20"/>
  <c r="AC8" i="20"/>
  <c r="AC11" i="20"/>
  <c r="AC6" i="20"/>
  <c r="AC13" i="20"/>
  <c r="AD16" i="16" l="1"/>
  <c r="H32" i="16" s="1"/>
  <c r="AB8" i="20"/>
  <c r="AD8" i="20" s="1"/>
  <c r="H24" i="20" s="1"/>
  <c r="AB12" i="16"/>
  <c r="AD12" i="16" s="1"/>
  <c r="H28" i="16" s="1"/>
  <c r="AB9" i="20"/>
  <c r="AD9" i="20" s="1"/>
  <c r="H25" i="20" s="1"/>
  <c r="AB7" i="16"/>
  <c r="AD7" i="16" s="1"/>
  <c r="H23" i="16" s="1"/>
  <c r="AB10" i="20"/>
  <c r="AD10" i="20" s="1"/>
  <c r="H26" i="20" s="1"/>
  <c r="AB6" i="16"/>
  <c r="AD6" i="16" s="1"/>
  <c r="H22" i="16" s="1"/>
  <c r="AB8" i="16"/>
  <c r="AD8" i="16" s="1"/>
  <c r="H24" i="16" s="1"/>
  <c r="AB11" i="20"/>
  <c r="AD11" i="20" s="1"/>
  <c r="H27" i="20" s="1"/>
  <c r="AB11" i="16"/>
  <c r="AD11" i="16" s="1"/>
  <c r="H27" i="16" s="1"/>
  <c r="AB13" i="20"/>
  <c r="AD13" i="20" s="1"/>
  <c r="H29" i="20" s="1"/>
  <c r="AC10" i="16"/>
  <c r="AD10" i="16" s="1"/>
  <c r="H26" i="16" s="1"/>
  <c r="AC16" i="20"/>
  <c r="AD16" i="20" s="1"/>
  <c r="H32" i="20" s="1"/>
  <c r="AB9" i="16"/>
  <c r="AD9" i="16" s="1"/>
  <c r="H25" i="16" s="1"/>
  <c r="AC14" i="20"/>
  <c r="AD14" i="20" s="1"/>
  <c r="H30" i="20" s="1"/>
  <c r="AC15" i="16"/>
  <c r="AD15" i="16" s="1"/>
  <c r="H31" i="16" s="1"/>
  <c r="AB6" i="20"/>
  <c r="AD6" i="20" s="1"/>
  <c r="H22" i="20" s="1"/>
  <c r="AC13" i="16"/>
  <c r="AD13" i="16" s="1"/>
  <c r="H29" i="16" s="1"/>
  <c r="AC7" i="20"/>
  <c r="AD7" i="20" s="1"/>
  <c r="H23" i="20" s="1"/>
  <c r="AC15" i="20"/>
  <c r="AD15" i="20" s="1"/>
  <c r="H31" i="20" s="1"/>
  <c r="AC14" i="16"/>
  <c r="AD14" i="16" s="1"/>
  <c r="H30" i="16" s="1"/>
  <c r="AC12" i="20"/>
  <c r="AD12" i="20" s="1"/>
  <c r="H28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<sst xmlns="http://schemas.openxmlformats.org/spreadsheetml/2006/main" count="251" uniqueCount="144">
  <si>
    <t>Av. 20d</t>
  </si>
  <si>
    <t>St.dev 20d</t>
  </si>
  <si>
    <t>PX_LAST</t>
  </si>
  <si>
    <t>Instrument</t>
  </si>
  <si>
    <t>VOLUME</t>
  </si>
  <si>
    <t>BID_SIZE</t>
  </si>
  <si>
    <t>BID</t>
  </si>
  <si>
    <t>ASK</t>
  </si>
  <si>
    <t>ASK_SIZE</t>
  </si>
  <si>
    <t>Zscore 20d</t>
  </si>
  <si>
    <t>Bloomberg Ticker</t>
  </si>
  <si>
    <t>Description</t>
  </si>
  <si>
    <t>BidVol</t>
  </si>
  <si>
    <t>Bid</t>
  </si>
  <si>
    <t>Ask</t>
  </si>
  <si>
    <t>AskVol</t>
  </si>
  <si>
    <t>CumVol</t>
  </si>
  <si>
    <t>Last Trade Price</t>
  </si>
  <si>
    <t>TrdTm</t>
  </si>
  <si>
    <t>Strategy Type</t>
  </si>
  <si>
    <t>Zsore 20d</t>
  </si>
  <si>
    <t>SFRU6H7</t>
  </si>
  <si>
    <t>3-Month SOFR Spread Sep26 Mar27</t>
  </si>
  <si>
    <t>Spread</t>
  </si>
  <si>
    <t>SFRZ7M8</t>
  </si>
  <si>
    <t>3-Month SOFR Spread Dec27 Jun28</t>
  </si>
  <si>
    <t>3-Month SOFR Pack Jun26 Sep26 Dec26 Mar27</t>
  </si>
  <si>
    <t>Pack</t>
  </si>
  <si>
    <t>SFRM6Z6</t>
  </si>
  <si>
    <t>3-Month SOFR Spread Jun26 Dec26</t>
  </si>
  <si>
    <t xml:space="preserve">20260223 07:19:20.538497 -0600 </t>
  </si>
  <si>
    <t>SFRZ6Z8</t>
  </si>
  <si>
    <t>3-Month SOFR Spread Dec26 Dec28</t>
  </si>
  <si>
    <t xml:space="preserve">20260223 07:10:25.101928 -0600 </t>
  </si>
  <si>
    <t>SFRM6H7</t>
  </si>
  <si>
    <t>3-Month SOFR Spread Jun26 Mar27</t>
  </si>
  <si>
    <t xml:space="preserve">20260223 07:17:19.310102 -0600 </t>
  </si>
  <si>
    <t xml:space="preserve">20260223 07:13:54.439683 -0600 </t>
  </si>
  <si>
    <t>3-Month SOFR Bundle (2Y) Mar26 to Dec27</t>
  </si>
  <si>
    <t xml:space="preserve">20260223 07:19:16.946585 -0600 </t>
  </si>
  <si>
    <t>Bundle</t>
  </si>
  <si>
    <t>ROLL_DOWN_VALUE</t>
  </si>
  <si>
    <t>VOLUME_AVG_20D</t>
  </si>
  <si>
    <t>Last</t>
  </si>
  <si>
    <t xml:space="preserve">Chg </t>
  </si>
  <si>
    <t>Volume</t>
  </si>
  <si>
    <t xml:space="preserve">Offer </t>
  </si>
  <si>
    <t>20d moves</t>
  </si>
  <si>
    <t>ROLL</t>
  </si>
  <si>
    <t>Volume 20d Av.</t>
  </si>
  <si>
    <t>SFIM6U6</t>
  </si>
  <si>
    <t>Three Month SONIA Spread Jun26 Sep26</t>
  </si>
  <si>
    <t>SFIU6Z6</t>
  </si>
  <si>
    <t>Three Month SONIA Spread Sep26 Dec26</t>
  </si>
  <si>
    <t>SFIM7Z7</t>
  </si>
  <si>
    <t>Three Month SONIA Spread Jun27 Dec27</t>
  </si>
  <si>
    <t>SFIZ6M7</t>
  </si>
  <si>
    <t>Three Month SONIA Spread Dec26 Jun27</t>
  </si>
  <si>
    <t>SFIZ6H7</t>
  </si>
  <si>
    <t>Three Month SONIA Spread Dec26 Mar27</t>
  </si>
  <si>
    <t xml:space="preserve">20260223 13:23:06.916135 +0000 </t>
  </si>
  <si>
    <t>SFIZ7Z8</t>
  </si>
  <si>
    <t>Three Month SONIA Spread Dec27 Dec28</t>
  </si>
  <si>
    <t xml:space="preserve">20260223 13:17:58.345031 +0000 </t>
  </si>
  <si>
    <t>TKYERM6</t>
  </si>
  <si>
    <t>Three Month ESTR vs Three Month Euribor Spr Jun26</t>
  </si>
  <si>
    <t>Intercommodity Spread</t>
  </si>
  <si>
    <t>ERM6ERU6</t>
  </si>
  <si>
    <t>Three Month Euro (Euribor) Spread Jun26 Sep26</t>
  </si>
  <si>
    <t>TKYERU6</t>
  </si>
  <si>
    <t>Three Month ESTR vs Three Month Euribor Spr Sep26</t>
  </si>
  <si>
    <t>ERZ7ERM8</t>
  </si>
  <si>
    <t>Three Month Euro (Euribor) Spread Dec27 Jun28</t>
  </si>
  <si>
    <t>ERU6ERU7</t>
  </si>
  <si>
    <t>Three Month Euro (Euribor) Spread Sep26 Sep27</t>
  </si>
  <si>
    <t>20250707 09:01:49.036898 +0100s</t>
  </si>
  <si>
    <t>SFRZ6Z7</t>
  </si>
  <si>
    <t>3-Month SOFR Spread Dec26 Dec27</t>
  </si>
  <si>
    <t>3-Month SOFR Bundle (2Y) Jun26 to Mar28</t>
  </si>
  <si>
    <t>3-Month SOFR Pack Jun27 Sep27 Dec27 Mar28</t>
  </si>
  <si>
    <t>SFRM6U6</t>
  </si>
  <si>
    <t>3-Month SOFR Spread Jun26 Sep26</t>
  </si>
  <si>
    <t>SFIU6H7</t>
  </si>
  <si>
    <t>Three Month SONIA Spread Sep26 Mar27</t>
  </si>
  <si>
    <t>SFRZ6H7</t>
  </si>
  <si>
    <t>3-Month SOFR Spread Dec26 Mar27</t>
  </si>
  <si>
    <t>SFRZ6M7</t>
  </si>
  <si>
    <t>3-Month SOFR Spread Dec26 Jun27</t>
  </si>
  <si>
    <t>SFR1YM6</t>
  </si>
  <si>
    <t>SFR2YM6</t>
  </si>
  <si>
    <t>SFR1YM7</t>
  </si>
  <si>
    <t>SFIZ7H8</t>
  </si>
  <si>
    <t>Three Month SONIA Spread Dec27 Mar28</t>
  </si>
  <si>
    <t>SFIH7M7</t>
  </si>
  <si>
    <t>Three Month SONIA Spread Mar27 Jun27</t>
  </si>
  <si>
    <t>ERH7ERH8</t>
  </si>
  <si>
    <t>Three Month Euro (Euribor) Spread Mar27 Mar28</t>
  </si>
  <si>
    <t>20260420 12:13:46.855616 +0100s</t>
  </si>
  <si>
    <t>20260421 04:48:36.408303 -0500s</t>
  </si>
  <si>
    <t>20260421 03:02:09.777107 -0500s</t>
  </si>
  <si>
    <t>20260421 04:48:42.057167 -0500s</t>
  </si>
  <si>
    <t>20260421 04:48:36.409125 -0500s</t>
  </si>
  <si>
    <t>20260421 04:49:13.493799 -0500s</t>
  </si>
  <si>
    <t>20260421 04:44:42.460883 -0500s</t>
  </si>
  <si>
    <t>20260421 04:39:49.619657 -0500s</t>
  </si>
  <si>
    <t>SFRM7M8</t>
  </si>
  <si>
    <t>3-Month SOFR Spread Jun27 Jun28</t>
  </si>
  <si>
    <t>20260421 03:25:03.814453 -0500s</t>
  </si>
  <si>
    <t>20260421 04:47:13.464310 -0500s</t>
  </si>
  <si>
    <t>20260421 10:39:01.598475 +0100s</t>
  </si>
  <si>
    <t>SFIZ6Z7</t>
  </si>
  <si>
    <t>Three Month SONIA Spread Dec26 Dec27</t>
  </si>
  <si>
    <t>20260421 10:45:58.824303 +0100s</t>
  </si>
  <si>
    <t>20260421 10:35:47.652081 +0100s</t>
  </si>
  <si>
    <t>20260421 10:45:01.697054 +0100s</t>
  </si>
  <si>
    <t>20260421 09:44:04.394619 +0100s</t>
  </si>
  <si>
    <t>20260421 10:48:28.412793 +0100s</t>
  </si>
  <si>
    <t>20260421 10:38:11.618414 +0100s</t>
  </si>
  <si>
    <t>SFI2YM6</t>
  </si>
  <si>
    <t>Three Month SONIA Bundle Jun26 to Mar28</t>
  </si>
  <si>
    <t>20260421 10:48:28.416207 +0100s</t>
  </si>
  <si>
    <t>20260421 10:12:55.090540 +0100s</t>
  </si>
  <si>
    <t>20260421 10:47:16.073765 +0100s</t>
  </si>
  <si>
    <t>TKYERZ6</t>
  </si>
  <si>
    <t>Three Month ESTR vs Three Month Euribor Spr Dec26</t>
  </si>
  <si>
    <t>20260421 10:47:55.934955 +0100s</t>
  </si>
  <si>
    <t>TKYERM7</t>
  </si>
  <si>
    <t>Three Month ESTR vs Three Month Euribor Spr Jun27</t>
  </si>
  <si>
    <t>20260421 10:49:07.780912 +0100s</t>
  </si>
  <si>
    <t>ERU7ERZ7</t>
  </si>
  <si>
    <t>Three Month Euro (Euribor) Spread Sep27 Dec27</t>
  </si>
  <si>
    <t>20260421 10:00:32.632209 +0100s</t>
  </si>
  <si>
    <t>20260421 10:45:57.792068 +0100s</t>
  </si>
  <si>
    <t>TKYERU7</t>
  </si>
  <si>
    <t>Three Month ESTR vs Three Month Euribor Spr Sep27</t>
  </si>
  <si>
    <t>20260421 10:47:55.932038 +0100s</t>
  </si>
  <si>
    <t>20260421 10:47:57.655071 +0100s</t>
  </si>
  <si>
    <t>TKYERM8</t>
  </si>
  <si>
    <t>Three Month ESTR vs Three Month Euribor Spr Jun28</t>
  </si>
  <si>
    <t>20260421 10:45:29.273230 +0100s</t>
  </si>
  <si>
    <t>20260421 10:00:35.980230 +0100s</t>
  </si>
  <si>
    <t>TKYERH7</t>
  </si>
  <si>
    <t>Three Month ESTR vs Three Month Euribor Spr Mar27</t>
  </si>
  <si>
    <t>20260421 10:47:55.931073 +0100s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</si>
</sst>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-0.04</v>
        <stp/>
        <stp>BDP|11339350758330398143|22</stp>
        <stp>SFRZ6H7 comdty</stp>
        <stp>BID</stp>
        <tr r="G28" s="19"/>
      </tp>
      <tp>
        <v>10678</v>
        <stp/>
        <stp>BDP|17280774998984540728|22</stp>
        <stp>TKYERZ6 comdty</stp>
        <stp>VOLUME</stp>
        <tr r="E23" s="16"/>
      </tp>
      <tp>
        <v>2.5000000000000001E-2</v>
        <stp/>
        <stp>BDP|14895232091560336909|22</stp>
        <stp>SFIU6Z6 comdty</stp>
        <stp>BID</stp>
        <tr r="F27" s="20"/>
      </tp>
      <tp>
        <v>-0.01</v>
        <stp/>
        <stp>BDP|11491011025157799228|22</stp>
        <stp>SFIZ7H8 comdty</stp>
        <stp>ASK</stp>
        <tr r="G31" s="20"/>
      </tp>
      <tp>
        <v>8273</v>
        <stp/>
        <stp>BDP|14674323786998065290|22</stp>
        <stp>TKYERU6 comdty</stp>
        <stp>VOLUME</stp>
        <tr r="E26" s="16"/>
      </tp>
      <tp>
        <v>-4.4999999999999998E-2</v>
        <stp/>
        <stp>BDP|12019316175526407568|22</stp>
        <stp>SFIZ6M7 comdty</stp>
        <stp>ASK</stp>
        <tr r="G28" s="20"/>
      </tp>
      <tp>
        <v>3.5000000000000003E-2</v>
        <stp/>
        <stp>BDP|11072841464565327773|22</stp>
        <stp>SFIU6Z6 comdty</stp>
        <stp>ASK</stp>
        <tr r="G27" s="20"/>
      </tp>
      <tp>
        <v>11052</v>
        <stp/>
        <stp>BDP|11430374335753175532|22</stp>
        <stp>SFRM6U6 comdty</stp>
        <stp>VOLUME</stp>
        <tr r="F27" s="19"/>
      </tp>
      <tp>
        <v>-0.2</v>
        <stp/>
        <stp>BDP|14240402294671792326|22</stp>
        <stp>SFRZ6Z7 comdty</stp>
        <stp>ASK</stp>
        <tr r="H33" s="19"/>
      </tp>
      <tp>
        <v>5048</v>
        <stp/>
        <stp>BDP|17881114608711541523|22</stp>
        <stp>SFRZ6H7 comdty</stp>
        <stp>VOLUME</stp>
        <tr r="F28" s="19"/>
      </tp>
      <tp>
        <v>0.02</v>
        <stp/>
        <stp>BDP|11037687086260724555|22</stp>
        <stp>SFIU6H7 comdty</stp>
        <stp>ASK</stp>
        <tr r="G25" s="20"/>
      </tp>
      <tp>
        <v>2881</v>
        <stp/>
        <stp>BDP|17639831153694960882|22</stp>
        <stp>SFRU6H7 comdty</stp>
        <stp>VOLUME</stp>
        <tr r="F34" s="19"/>
      </tp>
      <tp>
        <v>1179</v>
        <stp/>
        <stp>BDP|16675185804464194632|22</stp>
        <stp>SFRZ6Z8 comdty</stp>
        <stp>VOLUME</stp>
        <tr r="F38" s="19"/>
      </tp>
      <tp>
        <v>-1.4999999999999999E-2</v>
        <stp/>
        <stp>BDP|10378725072181579796|22</stp>
        <stp>SFIZ7H8 comdty</stp>
        <stp>BID</stp>
        <tr r="F31" s="20"/>
      </tp>
      <tp>
        <v>905</v>
        <stp/>
        <stp>BDP|17036971077384929112|22</stp>
        <stp>SFRM6H7 comdty</stp>
        <stp>VOLUME</stp>
        <tr r="F39" s="19"/>
      </tp>
      <tp>
        <v>4529</v>
        <stp/>
        <stp>BDP|16168642863409898364|22</stp>
        <stp>SFRM6Z6 comdty</stp>
        <stp>VOLUME</stp>
        <tr r="F31" s="19"/>
        <tr r="F37" s="19"/>
      </tp>
      <tp>
        <v>-0.1</v>
        <stp/>
        <stp>BDP|55152038222157073|22</stp>
        <stp>SFRM6Z6 comdty</stp>
        <stp>BID</stp>
        <tr r="G31" s="19"/>
        <tr r="G37" s="19"/>
      </tp>
      <tp>
        <v>-0.09</v>
        <stp/>
        <stp>BDP|12599528253957379769|22</stp>
        <stp>SFRZ6M7 comdty</stp>
        <stp>BID</stp>
        <tr r="G30" s="19"/>
      </tp>
      <tp>
        <v>4407</v>
        <stp/>
        <stp>BDP|11385343102986073487|22</stp>
        <stp>SFR2YM6 comdty</stp>
        <stp>VOLUME</stp>
        <tr r="F32" s="19"/>
      </tp>
      <tp>
        <v>1.4999999999999999E-2</v>
        <stp/>
        <stp>BDP|16391574164646218151|22</stp>
        <stp>SFIU6H7 comdty</stp>
        <stp>BID</stp>
        <tr r="F25" s="20"/>
      </tp>
      <tp>
        <v>-0.09</v>
        <stp/>
        <stp>BDP|15395932987249004062|22</stp>
        <stp>SFRU6H7 comdty</stp>
        <stp>BID</stp>
        <tr r="G34" s="19"/>
      </tp>
      <tp>
        <v>-0.14000000000000001</v>
        <stp/>
        <stp>BDP|10578285976474887829|22</stp>
        <stp>SFIZ6Z7 comdty</stp>
        <stp>ASK</stp>
        <tr r="G23" s="20"/>
      </tp>
      <tp>
        <v>-8.5000000000000006E-2</v>
        <stp/>
        <stp>BDP|15900337142083328342|22</stp>
        <stp>SFRZ6M7 comdty</stp>
        <stp>ASK</stp>
        <tr r="H30" s="19"/>
      </tp>
      <tp>
        <v>7893</v>
        <stp/>
        <stp>BDP|13581710007727424724|22</stp>
        <stp>TKYERM7 comdty</stp>
        <stp>VOLUME</stp>
        <tr r="E24" s="16"/>
      </tp>
      <tp>
        <v>-0.05</v>
        <stp/>
        <stp>BDP|17274984335432039681|22</stp>
        <stp>SFIZ6M7 comdty</stp>
        <stp>BID</stp>
        <tr r="F28" s="20"/>
      </tp>
      <tp>
        <v>-0.02</v>
        <stp/>
        <stp>BDP|3965563427539891445|22</stp>
        <stp>ERU7ERZ7 comdty</stp>
        <stp>BID</stp>
        <tr r="F25" s="16"/>
      </tp>
      <tp t="s">
        <v>#N/A N/A</v>
        <stp/>
        <stp>BDP|13893367697547553437</stp>
        <tr r="C24" s="16"/>
      </tp>
      <tp t="s">
        <v>#N/A N/A</v>
        <stp/>
        <stp>BDP|14976649386481569189</stp>
        <tr r="K40" s="19"/>
      </tp>
      <tp t="e">
        <v>#N/A</v>
        <stp/>
        <stp>BDH|15744024042312600904</stp>
        <tr r="AV12" s="16"/>
        <tr r="AV12" s="16"/>
      </tp>
      <tp t="s">
        <v>#N/A N/A</v>
        <stp/>
        <stp>BDH|12573029600820350840</stp>
        <tr r="AT15" s="20"/>
        <tr r="AT15" s="20"/>
      </tp>
      <tp t="s">
        <v>#N/A N/A</v>
        <stp/>
        <stp>BDH|17424779561519853594</stp>
        <tr r="BB12" s="16"/>
        <tr r="BB12" s="16"/>
        <tr r="D28" s="16"/>
      </tp>
      <tp t="e">
        <v>#N/A</v>
        <stp/>
        <stp>BDH|15173013290301036735</stp>
        <tr r="AI8" s="20"/>
        <tr r="AI8" s="20"/>
      </tp>
      <tp t="e">
        <v>#N/A</v>
        <stp/>
        <stp>BDH|10568764515679301574</stp>
        <tr r="AU11" s="20"/>
        <tr r="AU11" s="20"/>
      </tp>
      <tp t="s">
        <v>#N/A N/A</v>
        <stp/>
        <stp>BDH|10345825747462573458</stp>
        <tr r="BA16" s="16"/>
        <tr r="BA16" s="16"/>
      </tp>
      <tp t="s">
        <v>#N/A N/A</v>
        <stp/>
        <stp>BDH|10447968921407540601</stp>
        <tr r="AV11" s="19"/>
        <tr r="AV11" s="19"/>
      </tp>
      <tp t="s">
        <v>#N/A N/A</v>
        <stp/>
        <stp>BDH|11417867015003781162</stp>
        <tr r="AP9" s="20"/>
        <tr r="AP9" s="20"/>
      </tp>
      <tp t="s">
        <v>#N/A N/A</v>
        <stp/>
        <stp>BDH|12353413153668549127</stp>
        <tr r="AY16" s="20"/>
        <tr r="AY16" s="20"/>
        <tr r="AY14" s="20"/>
        <tr r="AY14" s="20"/>
      </tp>
      <tp t="e">
        <v>#N/A</v>
        <stp/>
        <stp>BDH|16118697361525487956</stp>
        <tr r="AV18" s="20"/>
        <tr r="AV18" s="16"/>
      </tp>
      <tp t="s">
        <v>#N/A N/A</v>
        <stp/>
        <stp>BDH|11854821074633440722</stp>
        <tr r="AW15" s="19"/>
        <tr r="AW15" s="19"/>
      </tp>
      <tp t="s">
        <v>#N/A N/A</v>
        <stp/>
        <stp>BDH|12752447181460071497</stp>
        <tr r="AT6" s="19"/>
        <tr r="AT6" s="19"/>
      </tp>
      <tp t="s">
        <v>#N/A N/A</v>
        <stp/>
        <stp>BDH|13166088471036097824</stp>
        <tr r="AP15" s="19"/>
        <tr r="AP15" s="19"/>
      </tp>
      <tp t="s">
        <v>#N/A N/A</v>
        <stp/>
        <stp>BDH|13279786792705645230</stp>
        <tr r="AQ11" s="19"/>
        <tr r="AQ11" s="19"/>
      </tp>
      <tp t="e">
        <v>#N/A</v>
        <stp/>
        <stp>BDH|14238731682196520798</stp>
        <tr r="AU12" s="16"/>
        <tr r="AU12" s="16"/>
      </tp>
      <tp t="s">
        <v>#N/A N/A</v>
        <stp/>
        <stp>BDH|14131768796967944777</stp>
        <tr r="AY17" s="19"/>
        <tr r="AY17" s="19"/>
      </tp>
      <tp t="s">
        <v>#N/A N/A</v>
        <stp/>
        <stp>BDH|16214097759159574085</stp>
        <tr r="AN12" s="20"/>
        <tr r="AN12" s="20"/>
      </tp>
      <tp t="s">
        <v>#N/A N/A</v>
        <stp/>
        <stp>BDH|10564930657950991672</stp>
        <tr r="AV8" s="19"/>
        <tr r="AV8" s="19"/>
      </tp>
      <tp t="e">
        <v>#N/A</v>
        <stp/>
        <stp>BDH|14361709099107427718</stp>
        <tr r="AK6" s="20"/>
        <tr r="AK6" s="20"/>
      </tp>
      <tp>
        <v>3775</v>
        <stp/>
        <stp>BDP|17827754892800010455|22</stp>
        <stp>SFIZ6M7 comdty</stp>
        <stp>VOLUME</stp>
        <tr r="E28" s="20"/>
      </tp>
      <tp t="s">
        <v>#N/A N/A</v>
        <stp/>
        <stp>BDP|10054485211659351799</stp>
        <tr r="C26" s="16"/>
      </tp>
      <tp t="s">
        <v>#N/A N/A</v>
        <stp/>
        <stp>BDP|14494868739681832579</stp>
        <tr r="C31" s="20"/>
      </tp>
      <tp>
        <v>0.13250000000000001</v>
        <stp/>
        <stp>BDP|18161655734221360773|22</stp>
        <stp>TKYERU6 comdty</stp>
        <stp>BID</stp>
        <tr r="F26" s="16"/>
      </tp>
      <tp t="s">
        <v>#N/A N/A</v>
        <stp/>
        <stp>BDP|10593408067579115053</stp>
        <tr r="K28" s="20"/>
      </tp>
      <tp t="s">
        <v>#N/A N/A</v>
        <stp/>
        <stp>BDH|15127532401239640247</stp>
        <tr r="AR13" s="20"/>
        <tr r="AR13" s="20"/>
      </tp>
      <tp t="s">
        <v>#N/A N/A</v>
        <stp/>
        <stp>BDH|11506239556409585445</stp>
        <tr r="AU15" s="16"/>
        <tr r="AU15" s="16"/>
      </tp>
      <tp t="e">
        <v>#N/A</v>
        <stp/>
        <stp>BDH|15446724093330668008</stp>
        <tr r="AS12" s="19"/>
        <tr r="AS12" s="19"/>
      </tp>
      <tp t="s">
        <v>#N/A N/A</v>
        <stp/>
        <stp>BDH|10401873931925835582</stp>
        <tr r="AN7" s="20"/>
        <tr r="AN7" s="20"/>
      </tp>
      <tp t="s">
        <v>#N/A N/A</v>
        <stp/>
        <stp>BDH|12569609339705055989</stp>
        <tr r="BA18" s="16"/>
        <tr r="BA18" s="20"/>
      </tp>
      <tp t="e">
        <v>#N/A</v>
        <stp/>
        <stp>BDH|18429765635806962198</stp>
        <tr r="AR8" s="20"/>
        <tr r="AR8" s="20"/>
      </tp>
      <tp t="e">
        <v>#N/A</v>
        <stp/>
        <stp>BDH|14403586439129958072</stp>
        <tr r="AI10" s="16"/>
        <tr r="AI10" s="16"/>
      </tp>
      <tp t="e">
        <v>#N/A</v>
        <stp/>
        <stp>BDH|18376817684881844241</stp>
        <tr r="AK12" s="16"/>
        <tr r="AK12" s="16"/>
      </tp>
      <tp t="e">
        <v>#N/A</v>
        <stp/>
        <stp>BDH|11923423081946081006</stp>
        <tr r="AK16" s="20"/>
        <tr r="AK16" s="20"/>
        <tr r="AK14" s="20"/>
        <tr r="AK14" s="20"/>
      </tp>
      <tp t="s">
        <v>#N/A N/A</v>
        <stp/>
        <stp>BDH|12506148990527879642</stp>
        <tr r="AG15" s="19"/>
      </tp>
      <tp t="e">
        <v>#N/A</v>
        <stp/>
        <stp>BDH|10659312481378299890</stp>
        <tr r="AU17" s="16"/>
        <tr r="AU17" s="16"/>
      </tp>
      <tp t="s">
        <v>#N/A N/A</v>
        <stp/>
        <stp>BDH|10992289831928527288</stp>
        <tr r="AY14" s="19"/>
        <tr r="AY14" s="19"/>
      </tp>
      <tp t="e">
        <v>#N/A</v>
        <stp/>
        <stp>BDH|17345895348067930775</stp>
        <tr r="AJ12" s="19"/>
        <tr r="AJ12" s="19"/>
      </tp>
      <tp t="s">
        <v>#N/A N/A</v>
        <stp/>
        <stp>BDH|15631049911349999658</stp>
        <tr r="BB7" s="19"/>
        <tr r="BB7" s="19"/>
      </tp>
      <tp t="s">
        <v>#N/A N/A</v>
        <stp/>
        <stp>BDH|17147903908976113361</stp>
        <tr r="AX11" s="16"/>
        <tr r="AX11" s="16"/>
      </tp>
      <tp t="s">
        <v>#N/A N/A</v>
        <stp/>
        <stp>BDH|11002665540250164897</stp>
        <tr r="AL16" s="16"/>
        <tr r="AL16" s="16"/>
      </tp>
      <tp t="s">
        <v>#N/A N/A</v>
        <stp/>
        <stp>BDP|13655586082164613259</stp>
        <tr r="C27" s="16"/>
      </tp>
      <tp t="s">
        <v>#N/A N/A</v>
        <stp/>
        <stp>BDH|16394051277101338832</stp>
        <tr r="AL7" s="16"/>
        <tr r="AL7" s="16"/>
      </tp>
      <tp t="s">
        <v>#N/A N/A</v>
        <stp/>
        <stp>BDH|15434681697585856720</stp>
        <tr r="AP12" s="20"/>
        <tr r="AP12" s="20"/>
      </tp>
      <tp t="s">
        <v>#N/A N/A</v>
        <stp/>
        <stp>BDH|12621715751801590921</stp>
        <tr r="AJ15" s="20"/>
        <tr r="AJ15" s="20"/>
      </tp>
      <tp t="e">
        <v>#N/A</v>
        <stp/>
        <stp>BDH|18442753081137038810</stp>
        <tr r="AG18" s="19"/>
      </tp>
      <tp t="e">
        <v>#N/A</v>
        <stp/>
        <stp>BDH|14466414706229978199</stp>
        <tr r="AR17" s="16"/>
        <tr r="AR17" s="16"/>
      </tp>
      <tp t="e">
        <v>#N/A</v>
        <stp/>
        <stp>BDH|10825814710653423284</stp>
        <tr r="AJ6" s="20"/>
        <tr r="AJ6" s="20"/>
      </tp>
      <tp t="s">
        <v>#N/A N/A</v>
        <stp/>
        <stp>BDH|10558038506799430102</stp>
        <tr r="AS11" s="19"/>
        <tr r="AS11" s="19"/>
      </tp>
      <tp t="s">
        <v>#N/A N/A</v>
        <stp/>
        <stp>BDH|14415563990028634800</stp>
        <tr r="AZ14" s="16"/>
        <tr r="AZ14" s="16"/>
      </tp>
      <tp t="e">
        <v>#N/A</v>
        <stp/>
        <stp>BDH|10383581563309935279</stp>
        <tr r="AK8" s="20"/>
        <tr r="AK8" s="20"/>
      </tp>
      <tp t="e">
        <v>#N/A</v>
        <stp/>
        <stp>BDH|16586726640399698472</stp>
        <tr r="AU10" s="16"/>
        <tr r="AU10" s="16"/>
      </tp>
      <tp t="s">
        <v>#N/A N/A</v>
        <stp/>
        <stp>BDH|15781680838151849969</stp>
        <tr r="AS10" s="20"/>
        <tr r="AS10" s="20"/>
      </tp>
      <tp t="s">
        <v>#N/A N/A</v>
        <stp/>
        <stp>BDH|13567724384111838531</stp>
        <tr r="AO14" s="19"/>
        <tr r="AO14" s="19"/>
      </tp>
      <tp t="e">
        <v>#N/A</v>
        <stp/>
        <stp>BDH|16021523704362578983</stp>
        <tr r="AF18" s="20"/>
        <tr r="AF18" s="16"/>
      </tp>
      <tp t="s">
        <v>#N/A N/A</v>
        <stp/>
        <stp>BDH|15591316129888229443</stp>
        <tr r="AM8" s="19"/>
        <tr r="AM8" s="19"/>
      </tp>
      <tp t="s">
        <v>#N/A N/A</v>
        <stp/>
        <stp>BDH|17279567760518663480</stp>
        <tr r="AM12" s="20"/>
        <tr r="AM12" s="20"/>
      </tp>
      <tp t="s">
        <v>#N/A N/A</v>
        <stp/>
        <stp>BDH|12681344610588476091</stp>
        <tr r="AR15" s="19"/>
        <tr r="AR15" s="19"/>
      </tp>
      <tp t="s">
        <v>#N/A N/A</v>
        <stp/>
        <stp>BDH|10073205364668871435</stp>
        <tr r="AU13" s="16"/>
        <tr r="AU13" s="16"/>
      </tp>
      <tp t="s">
        <v>#N/A N/A</v>
        <stp/>
        <stp>BDH|12727403145339481389</stp>
        <tr r="AO10" s="20"/>
        <tr r="AO10" s="20"/>
      </tp>
      <tp>
        <v>0.16500000000000001</v>
        <stp/>
        <stp>BDP|17132356119818866255|22</stp>
        <stp>SFIM6U6 comdty</stp>
        <stp>BID</stp>
        <tr r="F24" s="20"/>
      </tp>
      <tp t="s">
        <v>#N/A N/A</v>
        <stp/>
        <stp>BDP|12785107118622100935</stp>
        <tr r="J31" s="16"/>
      </tp>
      <tp t="s">
        <v>#N/A N/A</v>
        <stp/>
        <stp>BDP|13251268989543269339</stp>
        <tr r="L35" s="19"/>
      </tp>
      <tp>
        <v>0.125</v>
        <stp/>
        <stp>BDP|13796580971237699324|22</stp>
        <stp>TKYERM6 comdty</stp>
        <stp>BID</stp>
        <tr r="F22" s="16"/>
      </tp>
      <tp t="s">
        <v>#N/A N/A</v>
        <stp/>
        <stp>BDH|12006703770149462256</stp>
        <tr r="AZ8" s="20"/>
        <tr r="AZ8" s="20"/>
      </tp>
      <tp t="s">
        <v>#N/A N/A</v>
        <stp/>
        <stp>BDH|10756829443263400621</stp>
        <tr r="BB7" s="20"/>
        <tr r="BB7" s="20"/>
        <tr r="D23" s="20"/>
      </tp>
      <tp t="s">
        <v>#N/A N/A</v>
        <stp/>
        <stp>BDH|14764295249733512802</stp>
        <tr r="AG15" s="16"/>
      </tp>
      <tp t="e">
        <v>#N/A</v>
        <stp/>
        <stp>BDH|12674279887342082343</stp>
        <tr r="AN16" s="19"/>
        <tr r="AN16" s="19"/>
        <tr r="AN10" s="19"/>
        <tr r="AN10" s="19"/>
      </tp>
      <tp t="s">
        <v>#N/A N/A</v>
        <stp/>
        <stp>BDH|12828440789950755767</stp>
        <tr r="AQ7" s="16"/>
        <tr r="AQ7" s="16"/>
      </tp>
      <tp t="s">
        <v>#N/A N/A</v>
        <stp/>
        <stp>BDH|17288484026048088086</stp>
        <tr r="AQ8" s="16"/>
        <tr r="AQ8" s="16"/>
      </tp>
      <tp t="e">
        <v>#N/A</v>
        <stp/>
        <stp>BDH|10680936905645760504</stp>
        <tr r="AL12" s="19"/>
        <tr r="AL12" s="19"/>
      </tp>
      <tp t="s">
        <v>#N/A N/A</v>
        <stp/>
        <stp>BDH|15941846725775699375</stp>
        <tr r="AJ13" s="16"/>
        <tr r="AJ13" s="16"/>
      </tp>
      <tp t="s">
        <v>#N/A N/A</v>
        <stp/>
        <stp>BDH|11630854749707115322</stp>
        <tr r="AM14" s="19"/>
        <tr r="AM14" s="19"/>
      </tp>
      <tp t="s">
        <v>#N/A N/A</v>
        <stp/>
        <stp>BDH|16999925552774412756</stp>
        <tr r="AF13" s="16"/>
      </tp>
      <tp t="e">
        <v>#N/A</v>
        <stp/>
        <stp>BDH|15160067351141723895</stp>
        <tr r="AT10" s="16"/>
        <tr r="AT10" s="16"/>
      </tp>
      <tp t="s">
        <v>#N/A N/A</v>
        <stp/>
        <stp>BDH|14879569891841692020</stp>
        <tr r="AI6" s="19"/>
      </tp>
      <tp t="s">
        <v>#N/A N/A</v>
        <stp/>
        <stp>BDH|13484083294720576374</stp>
        <tr r="AM11" s="16"/>
        <tr r="AM11" s="16"/>
      </tp>
      <tp t="e">
        <v>#N/A</v>
        <stp/>
        <stp>BDH|17500398411978117460</stp>
        <tr r="AX18" s="19"/>
        <tr r="AX18" s="19"/>
      </tp>
      <tp t="s">
        <v>#N/A N/A</v>
        <stp/>
        <stp>BDH|14660467881594558595</stp>
        <tr r="AT9" s="20"/>
        <tr r="AT9" s="20"/>
      </tp>
      <tp t="s">
        <v>#N/A N/A</v>
        <stp/>
        <stp>BDH|13999342045988298560</stp>
        <tr r="BB15" s="20"/>
        <tr r="BB15" s="20"/>
        <tr r="D31" s="20"/>
      </tp>
      <tp t="s">
        <v>#N/A N/A</v>
        <stp/>
        <stp>BDH|11854895259316147368</stp>
        <tr r="AX14" s="19"/>
        <tr r="AX14" s="19"/>
      </tp>
      <tp t="e">
        <v>#N/A</v>
        <stp/>
        <stp>BDH|12510097907192707937</stp>
        <tr r="AT16" s="19"/>
        <tr r="AT16" s="19"/>
        <tr r="AT10" s="19"/>
        <tr r="AT10" s="19"/>
      </tp>
      <tp t="e">
        <v>#N/A</v>
        <stp/>
        <stp>BDH|16704615659675269938</stp>
        <tr r="AK10" s="16"/>
        <tr r="AK10" s="16"/>
      </tp>
      <tp t="s">
        <v>#N/A N/A</v>
        <stp/>
        <stp>BDH|10917998025172848031</stp>
        <tr r="AX17" s="16"/>
        <tr r="AX17" s="16"/>
      </tp>
      <tp t="e">
        <v>#N/A</v>
        <stp/>
        <stp>BDH|17581795492750381030</stp>
        <tr r="AT12" s="16"/>
        <tr r="AT12" s="16"/>
      </tp>
      <tp>
        <v>7395</v>
        <stp/>
        <stp>BDP|13082106548082667502|22</stp>
        <stp>SFIM6U6 comdty</stp>
        <stp>VOLUME</stp>
        <tr r="E24" s="20"/>
      </tp>
      <tp>
        <v>6091</v>
        <stp/>
        <stp>BDP|16083006083352596786|22</stp>
        <stp>SFIU6Z6 comdty</stp>
        <stp>VOLUME</stp>
        <tr r="E27" s="20"/>
      </tp>
      <tp t="s">
        <v>#N/A N/A</v>
        <stp/>
        <stp>BDP|10778181503229735628</stp>
        <tr r="C29" s="16"/>
      </tp>
      <tp t="e">
        <v>#N/A</v>
        <stp/>
        <stp>BDH|16629568743118685148</stp>
        <tr r="AW13" s="19"/>
        <tr r="AW13" s="19"/>
      </tp>
      <tp t="e">
        <v>#N/A</v>
        <stp/>
        <stp>BDH|12903827649767484775</stp>
        <tr r="AV18" s="19"/>
        <tr r="AV18" s="19"/>
      </tp>
      <tp t="e">
        <v>#N/A</v>
        <stp/>
        <stp>BDH|17909988517105272444</stp>
        <tr r="AF6" s="20"/>
      </tp>
      <tp t="e">
        <v>#N/A</v>
        <stp/>
        <stp>BDH|10038026266698386073</stp>
        <tr r="AK6" s="16"/>
        <tr r="AK6" s="16"/>
      </tp>
      <tp t="e">
        <v>#N/A</v>
        <stp/>
        <stp>BDH|14509385809589284056</stp>
        <tr r="AS10" s="19"/>
        <tr r="AS10" s="19"/>
        <tr r="AS16" s="19"/>
        <tr r="AS16" s="19"/>
      </tp>
      <tp t="s">
        <v>#N/A N/A</v>
        <stp/>
        <stp>BDH|16037999226283591091</stp>
        <tr r="BA17" s="19"/>
        <tr r="BA17" s="19"/>
      </tp>
      <tp t="s">
        <v>#N/A N/A</v>
        <stp/>
        <stp>BDH|15530868907872775164</stp>
        <tr r="AN7" s="16"/>
        <tr r="AN7" s="16"/>
      </tp>
      <tp t="s">
        <v>#N/A N/A</v>
        <stp/>
        <stp>BDH|18166426634813054232</stp>
        <tr r="AX7" s="19"/>
        <tr r="AX7" s="19"/>
      </tp>
      <tp t="s">
        <v>#N/A N/A</v>
        <stp/>
        <stp>BDH|13540364531019189476</stp>
        <tr r="AJ9" s="16"/>
        <tr r="AJ9" s="16"/>
      </tp>
      <tp t="e">
        <v>#N/A</v>
        <stp/>
        <stp>BDH|10488128024245649838</stp>
        <tr r="AP18" s="20"/>
        <tr r="AP18" s="16"/>
      </tp>
      <tp t="e">
        <v>#N/A</v>
        <stp/>
        <stp>BDH|18405710797041705927</stp>
        <tr r="AJ18" s="19"/>
        <tr r="AJ18" s="19"/>
      </tp>
      <tp t="s">
        <v>#N/A N/A</v>
        <stp/>
        <stp>BDH|10664685141489098588</stp>
        <tr r="AZ6" s="20"/>
        <tr r="AZ6" s="20"/>
      </tp>
      <tp t="e">
        <v>#N/A</v>
        <stp/>
        <stp>BDH|15921990872204077152</stp>
        <tr r="AT13" s="19"/>
        <tr r="AT13" s="19"/>
      </tp>
      <tp t="s">
        <v>#N/A N/A</v>
        <stp/>
        <stp>BDH|13094407951634089879</stp>
        <tr r="AY9" s="19"/>
        <tr r="AY9" s="19"/>
      </tp>
      <tp t="s">
        <v>#N/A N/A</v>
        <stp/>
        <stp>BDH|18015005105682761446</stp>
        <tr r="AO13" s="20"/>
        <tr r="AO13" s="20"/>
      </tp>
      <tp t="s">
        <v>#N/A N/A</v>
        <stp/>
        <stp>BDH|10003670480297350725</stp>
        <tr r="AJ7" s="19"/>
        <tr r="AJ7" s="19"/>
      </tp>
      <tp t="e">
        <v>#N/A</v>
        <stp/>
        <stp>BDH|14567067354956924971</stp>
        <tr r="AP13" s="19"/>
        <tr r="AP13" s="19"/>
      </tp>
      <tp t="s">
        <v>#N/A N/A</v>
        <stp/>
        <stp>BDH|12191006277298785397</stp>
        <tr r="AW13" s="16"/>
        <tr r="AW13" s="16"/>
      </tp>
      <tp t="s">
        <v>#N/A N/A</v>
        <stp/>
        <stp>BDH|10506650600181311987</stp>
        <tr r="AS15" s="16"/>
        <tr r="AS15" s="16"/>
      </tp>
      <tp t="e">
        <v>#N/A</v>
        <stp/>
        <stp>BDH|13240916026294977212</stp>
        <tr r="AG10" s="16"/>
      </tp>
      <tp t="s">
        <v>#N/A N/A</v>
        <stp/>
        <stp>BDH|14084629355869275094</stp>
        <tr r="AY9" s="20"/>
        <tr r="AY9" s="20"/>
      </tp>
      <tp t="s">
        <v>#N/A N/A</v>
        <stp/>
        <stp>BDH|14043574071040376898</stp>
        <tr r="AV14" s="16"/>
        <tr r="AV14" s="16"/>
      </tp>
      <tp t="s">
        <v>#N/A N/A</v>
        <stp/>
        <stp>BDH|16776360448317633832</stp>
        <tr r="AS9" s="19"/>
        <tr r="AS9" s="19"/>
      </tp>
      <tp t="e">
        <v>#N/A</v>
        <stp/>
        <stp>BDH|10041569795416575497</stp>
        <tr r="AW16" s="20"/>
        <tr r="AW16" s="20"/>
        <tr r="AW14" s="20"/>
        <tr r="AW14" s="20"/>
      </tp>
      <tp t="s">
        <v>#N/A N/A</v>
        <stp/>
        <stp>BDH|18386628778467496037</stp>
        <tr r="AP15" s="20"/>
        <tr r="AP15" s="20"/>
      </tp>
      <tp t="s">
        <v>#N/A N/A</v>
        <stp/>
        <stp>BDP|10501250449398113101</stp>
        <tr r="C30" s="20"/>
        <tr r="C32" s="20"/>
      </tp>
      <tp t="s">
        <v>#N/A N/A</v>
        <stp/>
        <stp>BDP|13936030356689260063</stp>
        <tr r="C23" s="20"/>
      </tp>
      <tp t="s">
        <v>#N/A N/A</v>
        <stp/>
        <stp>BDP|13798605263579510533</stp>
        <tr r="J28" s="20"/>
      </tp>
      <tp t="s">
        <v>#N/A Requesting Data...4212374164</v>
        <stp/>
        <stp>BDP|16812291577785614946</stp>
        <tr r="D33" s="19"/>
      </tp>
      <tp t="e">
        <v>#N/A</v>
        <stp/>
        <stp>BDH|11191676173667310868</stp>
        <tr r="AH14" s="20"/>
        <tr r="AH16" s="20"/>
      </tp>
      <tp t="s">
        <v>#N/A N/A</v>
        <stp/>
        <stp>BDH|16534948945306362241</stp>
        <tr r="AH10" s="20"/>
      </tp>
      <tp t="s">
        <v>#N/A N/A</v>
        <stp/>
        <stp>BDH|12119837486449367446</stp>
        <tr r="BB11" s="16"/>
        <tr r="BB11" s="16"/>
        <tr r="D27" s="16"/>
      </tp>
      <tp t="e">
        <v>#N/A</v>
        <stp/>
        <stp>BDH|12174849635611208705</stp>
        <tr r="AU6" s="16"/>
        <tr r="AU6" s="16"/>
      </tp>
      <tp t="s">
        <v>#N/A N/A</v>
        <stp/>
        <stp>BDH|15544958931245797541</stp>
        <tr r="BA14" s="20"/>
        <tr r="BA14" s="20"/>
        <tr r="BA16" s="20"/>
        <tr r="BA16" s="20"/>
      </tp>
      <tp t="s">
        <v>#N/A N/A</v>
        <stp/>
        <stp>BDH|14966699554800745868</stp>
        <tr r="AM13" s="20"/>
        <tr r="AM13" s="20"/>
      </tp>
      <tp t="s">
        <v>#N/A N/A</v>
        <stp/>
        <stp>BDH|13121545884814101558</stp>
        <tr r="AO15" s="16"/>
        <tr r="AO15" s="16"/>
      </tp>
      <tp t="s">
        <v>#N/A N/A</v>
        <stp/>
        <stp>BDH|18401735715612241352</stp>
        <tr r="AK13" s="20"/>
        <tr r="AK13" s="20"/>
      </tp>
      <tp t="s">
        <v>#N/A N/A</v>
        <stp/>
        <stp>BDH|13058882162890868266</stp>
        <tr r="AP9" s="16"/>
        <tr r="AP9" s="16"/>
      </tp>
      <tp t="e">
        <v>#N/A</v>
        <stp/>
        <stp>BDH|10097809464787276622</stp>
        <tr r="AF10" s="16"/>
      </tp>
      <tp t="s">
        <v>#N/A N/A</v>
        <stp/>
        <stp>BDH|14329535080256328070</stp>
        <tr r="AJ14" s="19"/>
        <tr r="AJ14" s="19"/>
      </tp>
      <tp t="e">
        <v>#N/A</v>
        <stp/>
        <stp>BDH|12795467239719197301</stp>
        <tr r="AG17" s="20"/>
      </tp>
      <tp t="s">
        <v>#N/A N/A</v>
        <stp/>
        <stp>BDH|15716918909073558038</stp>
        <tr r="AT16" s="16"/>
        <tr r="AT16" s="16"/>
      </tp>
      <tp t="s">
        <v>#N/A N/A</v>
        <stp/>
        <stp>BDH|17157851348313563714</stp>
        <tr r="AI12" s="20"/>
        <tr r="AI12" s="20"/>
      </tp>
      <tp t="s">
        <v>#N/A N/A</v>
        <stp/>
        <stp>BDH|11904343595193525770</stp>
        <tr r="AK7" s="16"/>
        <tr r="AK7" s="16"/>
      </tp>
      <tp t="s">
        <v>#N/A N/A</v>
        <stp/>
        <stp>BDH|12648806164690826371</stp>
        <tr r="AY18" s="19"/>
        <tr r="AY18" s="19"/>
      </tp>
      <tp t="s">
        <v>#N/A N/A</v>
        <stp/>
        <stp>BDH|11040794432082252862</stp>
        <tr r="AX16" s="16"/>
        <tr r="AX16" s="16"/>
      </tp>
      <tp>
        <v>-1.4999999999999999E-2</v>
        <stp/>
        <stp>BDP|6449647413098852119|22</stp>
        <stp>ERU7ERZ7 comdty</stp>
        <stp>ASK</stp>
        <tr r="G25" s="16"/>
      </tp>
      <tp>
        <v>3270</v>
        <stp/>
        <stp>BDP|12677027404418941141|22</stp>
        <stp>SFIM7Z7 comdty</stp>
        <stp>VOLUME</stp>
        <tr r="E32" s="20"/>
        <tr r="E30" s="20"/>
      </tp>
      <tp t="s">
        <v>#N/A N/A</v>
        <stp/>
        <stp>BDP|12671345979852997873</stp>
        <tr r="K30" s="19"/>
      </tp>
      <tp t="s">
        <v>#N/A N/A</v>
        <stp/>
        <stp>BDH|17956689482836242301</stp>
        <tr r="AZ17" s="16"/>
        <tr r="AZ17" s="16"/>
      </tp>
      <tp t="e">
        <v>#N/A</v>
        <stp/>
        <stp>BDH|13774171214169237669</stp>
        <tr r="AP10" s="16"/>
        <tr r="AP10" s="16"/>
      </tp>
      <tp t="e">
        <v>#N/A</v>
        <stp/>
        <stp>BDH|10592642279945944814</stp>
        <tr r="AH8" s="20"/>
      </tp>
      <tp t="s">
        <v>#N/A N/A</v>
        <stp/>
        <stp>BDH|15649714371709030065</stp>
        <tr r="BA11" s="16"/>
        <tr r="BA11" s="16"/>
      </tp>
      <tp t="s">
        <v>#N/A N/A</v>
        <stp/>
        <stp>BDH|10024985007876883376</stp>
        <tr r="AH15" s="19"/>
      </tp>
      <tp t="s">
        <v>#N/A N/A</v>
        <stp/>
        <stp>BDH|13310909539720946502</stp>
        <tr r="AX8" s="20"/>
        <tr r="AX8" s="20"/>
      </tp>
      <tp t="e">
        <v>#N/A</v>
        <stp/>
        <stp>BDH|12279727814289437134</stp>
        <tr r="AO18" s="19"/>
        <tr r="AO18" s="19"/>
      </tp>
      <tp t="s">
        <v>#N/A N/A</v>
        <stp/>
        <stp>BDH|15826837844375901037</stp>
        <tr r="AZ15" s="20"/>
        <tr r="AZ15" s="20"/>
      </tp>
      <tp t="s">
        <v>#N/A N/A</v>
        <stp/>
        <stp>BDH|16189520916628151607</stp>
        <tr r="AI8" s="19"/>
      </tp>
      <tp t="e">
        <v>#N/A</v>
        <stp/>
        <stp>BDH|12392436302629420317</stp>
        <tr r="AS10" s="16"/>
        <tr r="AS10" s="16"/>
      </tp>
      <tp t="s">
        <v>#N/A N/A</v>
        <stp/>
        <stp>BDH|16953550313119839703</stp>
        <tr r="AL15" s="20"/>
        <tr r="AL15" s="20"/>
      </tp>
      <tp t="s">
        <v>#N/A N/A</v>
        <stp/>
        <stp>BDH|10182705313722416800</stp>
        <tr r="AK15" s="16"/>
        <tr r="AK15" s="16"/>
      </tp>
      <tp t="s">
        <v>#N/A N/A</v>
        <stp/>
        <stp>BDH|12510398192257783309</stp>
        <tr r="AY12" s="20"/>
        <tr r="AY12" s="20"/>
      </tp>
      <tp t="s">
        <v>#N/A N/A</v>
        <stp/>
        <stp>BDH|16510215328438286268</stp>
        <tr r="BB15" s="16"/>
        <tr r="BB15" s="16"/>
        <tr r="D31" s="16"/>
      </tp>
      <tp t="e">
        <v>#N/A</v>
        <stp/>
        <stp>BDH|14318591607564112972</stp>
        <tr r="AT17" s="19"/>
        <tr r="AT17" s="19"/>
      </tp>
      <tp t="s">
        <v>#N/A N/A</v>
        <stp/>
        <stp>BDH|13061190686805595305</stp>
        <tr r="BB9" s="16"/>
        <tr r="BB9" s="16"/>
        <tr r="D25" s="16"/>
      </tp>
      <tp t="e">
        <v>#N/A</v>
        <stp/>
        <stp>BDH|15116929723964599682</stp>
        <tr r="AP18" s="19"/>
        <tr r="AP18" s="19"/>
      </tp>
      <tp t="s">
        <v>#N/A N/A</v>
        <stp/>
        <stp>BDH|12775521342227922839</stp>
        <tr r="AP13" s="20"/>
        <tr r="AP13" s="20"/>
      </tp>
      <tp t="s">
        <v>#N/A N/A</v>
        <stp/>
        <stp>BDH|11649278640218893356</stp>
        <tr r="AR8" s="19"/>
        <tr r="AR8" s="19"/>
      </tp>
      <tp t="s">
        <v>#N/A N/A</v>
        <stp/>
        <stp>BDH|15012192297119056815</stp>
        <tr r="AG7" s="20"/>
      </tp>
      <tp t="s">
        <v>#N/A N/A</v>
        <stp/>
        <stp>BDH|16594940039313741309</stp>
        <tr r="BB13" s="16"/>
        <tr r="BB13" s="16"/>
        <tr r="D29" s="16"/>
      </tp>
      <tp t="s">
        <v>#N/A N/A</v>
        <stp/>
        <stp>BDH|17613975119200041375</stp>
        <tr r="AS9" s="16"/>
        <tr r="AS9" s="16"/>
      </tp>
      <tp t="s">
        <v>#N/A N/A</v>
        <stp/>
        <stp>BDP|17877213316451913867</stp>
        <tr r="K29" s="16"/>
      </tp>
      <tp>
        <v>0.13500000000000001</v>
        <stp/>
        <stp>BDP|17341149286587838899|22</stp>
        <stp>TKYERZ6 comdty</stp>
        <stp>BID</stp>
        <tr r="F23" s="16"/>
      </tp>
      <tp t="s">
        <v>#N/A N/A</v>
        <stp/>
        <stp>BDP|10366055190170734460</stp>
        <tr r="C26" s="20"/>
      </tp>
      <tp t="s">
        <v>#N/A N/A</v>
        <stp/>
        <stp>BDH|18024229602482892599</stp>
        <tr r="AJ15" s="16"/>
        <tr r="AJ15" s="16"/>
      </tp>
      <tp t="e">
        <v>#N/A</v>
        <stp/>
        <stp>BDH|18309633703441121239</stp>
        <tr r="AN18" s="19"/>
        <tr r="AN18" s="19"/>
      </tp>
      <tp t="e">
        <v>#N/A</v>
        <stp/>
        <stp>BDH|12934178483547444186</stp>
        <tr r="AJ17" s="16"/>
        <tr r="AJ17" s="16"/>
      </tp>
      <tp t="e">
        <v>#N/A</v>
        <stp/>
        <stp>BDH|17359045764975231912</stp>
        <tr r="AU10" s="19"/>
        <tr r="AU10" s="19"/>
        <tr r="AU16" s="19"/>
        <tr r="AU16" s="19"/>
      </tp>
      <tp t="s">
        <v>#N/A N/A</v>
        <stp/>
        <stp>BDH|12889811065343500294</stp>
        <tr r="AX6" s="16"/>
        <tr r="AX6" s="16"/>
      </tp>
      <tp t="s">
        <v>#N/A N/A</v>
        <stp/>
        <stp>BDH|10265298661201009896</stp>
        <tr r="AH12" s="20"/>
      </tp>
      <tp t="s">
        <v>#N/A N/A</v>
        <stp/>
        <stp>BDH|11436920961225166655</stp>
        <tr r="AK11" s="19"/>
        <tr r="AK11" s="19"/>
      </tp>
      <tp t="e">
        <v>#N/A</v>
        <stp/>
        <stp>BDH|14613680764961006887</stp>
        <tr r="AP17" s="16"/>
        <tr r="AP17" s="16"/>
      </tp>
      <tp t="s">
        <v>#N/A N/A</v>
        <stp/>
        <stp>BDH|14284218040626249937</stp>
        <tr r="AP11" s="16"/>
        <tr r="AP11" s="16"/>
      </tp>
      <tp t="e">
        <v>#N/A</v>
        <stp/>
        <stp>BDH|14330795255389807236</stp>
        <tr r="AM11" s="20"/>
        <tr r="AM11" s="20"/>
      </tp>
      <tp t="s">
        <v>#N/A N/A</v>
        <stp/>
        <stp>BDH|10265399943612980855</stp>
        <tr r="AX13" s="20"/>
        <tr r="AX13" s="20"/>
      </tp>
      <tp t="s">
        <v>#N/A N/A</v>
        <stp/>
        <stp>BDH|16757444921928203572</stp>
        <tr r="AW9" s="20"/>
        <tr r="AW9" s="20"/>
      </tp>
      <tp t="s">
        <v>#N/A N/A</v>
        <stp/>
        <stp>BDH|18073026967114027725</stp>
        <tr r="BA12" s="16"/>
        <tr r="BA12" s="16"/>
      </tp>
      <tp t="s">
        <v>#N/A N/A</v>
        <stp/>
        <stp>BDH|15344616579561576895</stp>
        <tr r="AN16" s="16"/>
        <tr r="AN16" s="16"/>
      </tp>
      <tp t="s">
        <v>#N/A N/A</v>
        <stp/>
        <stp>BDH|16550974005990738261</stp>
        <tr r="AL7" s="19"/>
        <tr r="AL7" s="19"/>
      </tp>
      <tp t="e">
        <v>#N/A</v>
        <stp/>
        <stp>BDH|16464632120006577947</stp>
        <tr r="AR6" s="16"/>
        <tr r="AR6" s="16"/>
      </tp>
      <tp t="e">
        <v>#N/A</v>
        <stp/>
        <stp>BDH|16198428788477018025</stp>
        <tr r="AR17" s="19"/>
        <tr r="AR17" s="19"/>
      </tp>
      <tp t="s">
        <v>#N/A N/A</v>
        <stp/>
        <stp>BDH|10980919804166246271</stp>
        <tr r="BB12" s="20"/>
        <tr r="BB12" s="20"/>
        <tr r="D28" s="20"/>
      </tp>
      <tp t="e">
        <v>#N/A</v>
        <stp/>
        <stp>BDH|14247205643986975934</stp>
        <tr r="AP14" s="20"/>
        <tr r="AP14" s="20"/>
        <tr r="AP16" s="20"/>
        <tr r="AP16" s="20"/>
      </tp>
      <tp t="e">
        <v>#N/A</v>
        <stp/>
        <stp>BDH|12693768000819983133</stp>
        <tr r="AF6" s="16"/>
      </tp>
      <tp t="s">
        <v>#N/A N/A</v>
        <stp/>
        <stp>BDH|15335474195074229195</stp>
        <tr r="BA10" s="19"/>
        <tr r="BA10" s="19"/>
        <tr r="BA16" s="19"/>
        <tr r="BA16" s="19"/>
      </tp>
      <tp t="s">
        <v>#N/A N/A</v>
        <stp/>
        <stp>BDH|16962171285763310124</stp>
        <tr r="AU15" s="20"/>
        <tr r="AU15" s="20"/>
      </tp>
      <tp t="s">
        <v>#N/A N/A</v>
        <stp/>
        <stp>BDH|14300361393763823021</stp>
        <tr r="AO6" s="19"/>
        <tr r="AO6" s="19"/>
      </tp>
      <tp t="s">
        <v>#N/A N/A</v>
        <stp/>
        <stp>BDH|17874738113605574924</stp>
        <tr r="AK14" s="19"/>
        <tr r="AK14" s="19"/>
      </tp>
      <tp t="s">
        <v>#N/A N/A</v>
        <stp/>
        <stp>BDH|14501990515870321143</stp>
        <tr r="AG16" s="16"/>
      </tp>
      <tp t="e">
        <v>#N/A</v>
        <stp/>
        <stp>BDH|13703950205064174380</stp>
        <tr r="AN12" s="19"/>
        <tr r="AN12" s="19"/>
      </tp>
      <tp>
        <v>3.5000000000000003E-2</v>
        <stp/>
        <stp>BDP|3481559376609549148|22</stp>
        <stp>ERZ7ERM8 comdty</stp>
        <stp>BID</stp>
        <tr r="F30" s="16"/>
      </tp>
      <tp>
        <v>-0.03</v>
        <stp/>
        <stp>BDP|6143637301698891734|22</stp>
        <stp>ERH7ERH8 comdty</stp>
        <stp>ASK</stp>
        <tr r="G32" s="16"/>
      </tp>
      <tp t="s">
        <v>#N/A N/A</v>
        <stp/>
        <stp>BDP|10445193068306517397</stp>
        <tr r="J26" s="16"/>
      </tp>
      <tp t="s">
        <v>#N/A N/A</v>
        <stp/>
        <stp>BDH|12298073814777810681</stp>
        <tr r="AW7" s="16"/>
        <tr r="AW7" s="16"/>
      </tp>
      <tp t="s">
        <v>#N/A N/A</v>
        <stp/>
        <stp>BDH|14440875514598669712</stp>
        <tr r="AM15" s="16"/>
        <tr r="AM15" s="16"/>
      </tp>
      <tp t="e">
        <v>#N/A</v>
        <stp/>
        <stp>BDH|17444409867207274022</stp>
        <tr r="AT17" s="16"/>
        <tr r="AT17" s="16"/>
      </tp>
      <tp t="s">
        <v>#N/A N/A</v>
        <stp/>
        <stp>BDH|13020043857476354239</stp>
        <tr r="AX7" s="16"/>
        <tr r="AX7" s="16"/>
      </tp>
      <tp t="s">
        <v>#N/A N/A</v>
        <stp/>
        <stp>BDH|16825504919154189433</stp>
        <tr r="AY9" s="16"/>
        <tr r="AY9" s="16"/>
      </tp>
      <tp t="s">
        <v>#N/A N/A</v>
        <stp/>
        <stp>BDH|16172787156577459185</stp>
        <tr r="BC8" s="19"/>
        <tr r="BC8" s="19"/>
        <tr r="E29" s="19"/>
      </tp>
      <tp t="s">
        <v>#N/A N/A</v>
        <stp/>
        <stp>BDH|17206269112462768430</stp>
        <tr r="AN11" s="19"/>
        <tr r="AN11" s="19"/>
      </tp>
      <tp t="s">
        <v>#N/A N/A</v>
        <stp/>
        <stp>BDH|13155610611586398007</stp>
        <tr r="AI15" s="16"/>
        <tr r="AI15" s="16"/>
      </tp>
      <tp t="e">
        <v>#N/A</v>
        <stp/>
        <stp>BDH|15078535312306741545</stp>
        <tr r="AF11" s="20"/>
      </tp>
      <tp t="s">
        <v>#N/A N/A</v>
        <stp/>
        <stp>BDH|16571116928764960376</stp>
        <tr r="AP7" s="19"/>
        <tr r="AP7" s="19"/>
      </tp>
      <tp t="e">
        <v>#N/A</v>
        <stp/>
        <stp>BDH|10051008008727464593</stp>
        <tr r="AL11" s="20"/>
        <tr r="AL11" s="20"/>
      </tp>
      <tp t="s">
        <v>#N/A N/A</v>
        <stp/>
        <stp>BDH|17663552011878761904</stp>
        <tr r="AO15" s="19"/>
        <tr r="AO15" s="19"/>
      </tp>
      <tp t="s">
        <v>#N/A N/A</v>
        <stp/>
        <stp>BDH|10955803888191368372</stp>
        <tr r="AT7" s="16"/>
        <tr r="AT7" s="16"/>
      </tp>
      <tp t="s">
        <v>#N/A N/A</v>
        <stp/>
        <stp>BDH|13573559694625024818</stp>
        <tr r="AX9" s="16"/>
        <tr r="AX9" s="16"/>
      </tp>
      <tp t="s">
        <v>#N/A N/A</v>
        <stp/>
        <stp>BDH|14305150174947304749</stp>
        <tr r="AI7" s="19"/>
      </tp>
      <tp t="s">
        <v>#N/A N/A</v>
        <stp/>
        <stp>BDH|17958442303906278799</stp>
        <tr r="AO9" s="16"/>
        <tr r="AO9" s="16"/>
      </tp>
      <tp t="e">
        <v>#N/A</v>
        <stp/>
        <stp>BDH|18209704220228068775</stp>
        <tr r="AG12" s="16"/>
      </tp>
      <tp t="e">
        <v>#N/A</v>
        <stp/>
        <stp>BDH|14474683831137882420</stp>
        <tr r="AJ13" s="19"/>
        <tr r="AJ13" s="19"/>
      </tp>
      <tp t="s">
        <v>#N/A N/A</v>
        <stp/>
        <stp>BDH|15126520504125087709</stp>
        <tr r="AL9" s="20"/>
        <tr r="AL9" s="20"/>
      </tp>
      <tp t="s">
        <v>#N/A N/A</v>
        <stp/>
        <stp>BDH|15345648120214285726</stp>
        <tr r="AL10" s="20"/>
        <tr r="AL10" s="20"/>
      </tp>
      <tp t="e">
        <v>#N/A</v>
        <stp/>
        <stp>BDH|11970005770071946564</stp>
        <tr r="AU12" s="19"/>
        <tr r="AU12" s="19"/>
      </tp>
      <tp t="s">
        <v>#N/A N/A</v>
        <stp/>
        <stp>BDH|11005026401835470619</stp>
        <tr r="AL12" s="20"/>
        <tr r="AL12" s="20"/>
      </tp>
      <tp t="e">
        <v>#N/A</v>
        <stp/>
        <stp>BDH|16040605628396041603</stp>
        <tr r="AS6" s="16"/>
        <tr r="AS6" s="16"/>
      </tp>
      <tp t="s">
        <v>#N/A N/A</v>
        <stp/>
        <stp>BDH|10662464559823478067</stp>
        <tr r="AU7" s="20"/>
        <tr r="AU7" s="20"/>
      </tp>
      <tp t="s">
        <v>#N/A N/A</v>
        <stp/>
        <stp>BDH|16010045342779538985</stp>
        <tr r="AT7" s="19"/>
        <tr r="AT7" s="19"/>
      </tp>
      <tp t="s">
        <v>#N/A N/A</v>
        <stp/>
        <stp>BDH|13964758415001556660</stp>
        <tr r="AF16" s="16"/>
      </tp>
      <tp t="e">
        <v>#N/A</v>
        <stp/>
        <stp>BDH|13464675038892557648</stp>
        <tr r="AJ6" s="16"/>
        <tr r="AJ6" s="16"/>
      </tp>
      <tp t="s">
        <v>#N/A N/A</v>
        <stp/>
        <stp>BDH|16182345039443267749</stp>
        <tr r="AR14" s="16"/>
        <tr r="AR14" s="16"/>
      </tp>
      <tp t="s">
        <v>#N/A N/A</v>
        <stp/>
        <stp>BDH|15901459913664331615</stp>
        <tr r="AN9" s="19"/>
        <tr r="AN9" s="19"/>
      </tp>
      <tp t="s">
        <v>#N/A N/A</v>
        <stp/>
        <stp>BDH|14754379110731901544</stp>
        <tr r="AR11" s="16"/>
        <tr r="AR11" s="16"/>
      </tp>
      <tp t="e">
        <v>#N/A</v>
        <stp/>
        <stp>BDH|13197532666782052088</stp>
        <tr r="AO18" s="20"/>
        <tr r="AO18" s="16"/>
      </tp>
      <tp t="s">
        <v>#N/A N/A</v>
        <stp/>
        <stp>BDH|16202655622938320884</stp>
        <tr r="AU9" s="16"/>
        <tr r="AU9" s="16"/>
      </tp>
      <tp t="s">
        <v>#N/A N/A</v>
        <stp/>
        <stp>BDH|14616890393366467163</stp>
        <tr r="AR7" s="20"/>
        <tr r="AR7" s="20"/>
      </tp>
      <tp t="e">
        <v>#N/A</v>
        <stp/>
        <stp>BDH|11700700869367714576</stp>
        <tr r="AM6" s="16"/>
        <tr r="AM6" s="16"/>
      </tp>
      <tp>
        <v>3470</v>
        <stp/>
        <stp>BDP|12750454909684967010|22</stp>
        <stp>SFI2YM6 comdty</stp>
        <stp>VOLUME</stp>
        <tr r="E29" s="20"/>
      </tp>
      <tp t="s">
        <v>#N/A N/A</v>
        <stp/>
        <stp>BDP|13047200577205863046</stp>
        <tr r="K28" s="16"/>
      </tp>
      <tp t="s">
        <v>#N/A Requesting Data...1468714489</v>
        <stp/>
        <stp>BDP|17519430818963687274</stp>
        <tr r="L31" s="19"/>
        <tr r="L37" s="19"/>
      </tp>
      <tp t="s">
        <v>#N/A N/A</v>
        <stp/>
        <stp>BDH|11576746640505498446</stp>
        <tr r="AN8" s="19"/>
        <tr r="AN8" s="19"/>
      </tp>
      <tp t="s">
        <v>#N/A N/A</v>
        <stp/>
        <stp>BDH|12504166011533186222</stp>
        <tr r="AI15" s="20"/>
        <tr r="AI15" s="20"/>
      </tp>
      <tp t="e">
        <v>#N/A</v>
        <stp/>
        <stp>BDH|12809094121162012110</stp>
        <tr r="AR12" s="16"/>
        <tr r="AR12" s="16"/>
      </tp>
      <tp t="e">
        <v>#N/A</v>
        <stp/>
        <stp>BDH|14343646322437598406</stp>
        <tr r="AJ17" s="20"/>
        <tr r="AJ17" s="20"/>
      </tp>
      <tp t="s">
        <v>#N/A N/A</v>
        <stp/>
        <stp>BDH|12728196836897946414</stp>
        <tr r="AI14" s="19"/>
      </tp>
      <tp t="s">
        <v>#N/A N/A</v>
        <stp/>
        <stp>BDH|13747343220914648558</stp>
        <tr r="AL7" s="20"/>
        <tr r="AL7" s="20"/>
      </tp>
      <tp t="e">
        <v>#N/A</v>
        <stp/>
        <stp>BDH|14203812161631893880</stp>
        <tr r="AT6" s="20"/>
        <tr r="AT6" s="20"/>
      </tp>
      <tp t="s">
        <v>#N/A N/A</v>
        <stp/>
        <stp>BDH|16437115446337847797</stp>
        <tr r="AY7" s="20"/>
        <tr r="AY7" s="20"/>
      </tp>
      <tp t="s">
        <v>#N/A N/A</v>
        <stp/>
        <stp>BDH|12625506847597732746</stp>
        <tr r="AJ11" s="19"/>
        <tr r="AJ11" s="19"/>
      </tp>
      <tp t="s">
        <v>#N/A N/A</v>
        <stp/>
        <stp>BDH|11051737879965671783</stp>
        <tr r="AR9" s="16"/>
        <tr r="AR9" s="16"/>
      </tp>
      <tp t="s">
        <v>#N/A N/A</v>
        <stp/>
        <stp>BDH|14077704611373729219</stp>
        <tr r="BB10" s="20"/>
        <tr r="BB10" s="20"/>
        <tr r="D26" s="20"/>
      </tp>
      <tp t="s">
        <v>#N/A N/A</v>
        <stp/>
        <stp>BDH|11231272977846400113</stp>
        <tr r="AI13" s="20"/>
        <tr r="AI13" s="20"/>
      </tp>
      <tp t="s">
        <v>#N/A N/A</v>
        <stp/>
        <stp>BDH|15230411817997605457</stp>
        <tr r="AZ8" s="16"/>
        <tr r="AZ8" s="16"/>
      </tp>
      <tp t="s">
        <v>#N/A N/A</v>
        <stp/>
        <stp>BDH|13116519392994075841</stp>
        <tr r="AN8" s="16"/>
        <tr r="AN8" s="16"/>
      </tp>
      <tp t="s">
        <v>#N/A N/A</v>
        <stp/>
        <stp>BDH|16763698309456876567</stp>
        <tr r="AK16" s="16"/>
        <tr r="AK16" s="16"/>
      </tp>
      <tp t="e">
        <v>#N/A</v>
        <stp/>
        <stp>BDH|10495320821163752193</stp>
        <tr r="AU18" s="19"/>
        <tr r="AU18" s="19"/>
      </tp>
      <tp t="e">
        <v>#N/A</v>
        <stp/>
        <stp>BDH|11955514802583638440</stp>
        <tr r="AK18" s="19"/>
        <tr r="AK18" s="19"/>
      </tp>
      <tp t="s">
        <v>#N/A N/A</v>
        <stp/>
        <stp>BDH|17249005387649446594</stp>
        <tr r="AZ11" s="19"/>
        <tr r="AZ11" s="19"/>
      </tp>
      <tp t="e">
        <v>#N/A</v>
        <stp/>
        <stp>BDH|16427186597159658462</stp>
        <tr r="AX16" s="19"/>
        <tr r="AX16" s="19"/>
        <tr r="AX10" s="19"/>
        <tr r="AX10" s="19"/>
      </tp>
      <tp t="s">
        <v>#N/A N/A</v>
        <stp/>
        <stp>BDH|11366091875536152357</stp>
        <tr r="AH7" s="16"/>
      </tp>
      <tp t="s">
        <v>#N/A N/A</v>
        <stp/>
        <stp>BDH|17065243260368663894</stp>
        <tr r="AU14" s="19"/>
        <tr r="AU14" s="19"/>
      </tp>
      <tp t="e">
        <v>#N/A</v>
        <stp/>
        <stp>BDH|10636849886435946608</stp>
        <tr r="AG16" s="20"/>
        <tr r="AG14" s="20"/>
      </tp>
      <tp t="e">
        <v>#N/A</v>
        <stp/>
        <stp>BDH|17008314935594044086</stp>
        <tr r="AP6" s="20"/>
        <tr r="AP6" s="20"/>
      </tp>
      <tp t="s">
        <v>#N/A N/A</v>
        <stp/>
        <stp>BDH|10607554299806530907</stp>
        <tr r="AJ14" s="16"/>
        <tr r="AJ14" s="16"/>
      </tp>
      <tp t="e">
        <v>#N/A</v>
        <stp/>
        <stp>BDH|15010409099019643204</stp>
        <tr r="AI13" s="19"/>
      </tp>
      <tp t="e">
        <v>#N/A</v>
        <stp/>
        <stp>BDH|13373937097048035899</stp>
        <tr r="AW6" s="20"/>
        <tr r="AW6" s="20"/>
      </tp>
      <tp t="s">
        <v>#N/A N/A</v>
        <stp/>
        <stp>BDP|14603989364982242943</stp>
        <tr r="K26" s="20"/>
      </tp>
      <tp t="s">
        <v>#N/A Requesting Data...3379582468</v>
        <stp/>
        <stp>BDP|10323749446775533650</stp>
        <tr r="J24" s="20"/>
      </tp>
      <tp t="s">
        <v>#N/A N/A</v>
        <stp/>
        <stp>BDP|17692829273450060826</stp>
        <tr r="L36" s="19"/>
      </tp>
      <tp t="s">
        <v>#N/A N/A</v>
        <stp/>
        <stp>BDP|18151092199506242773</stp>
        <tr r="L39" s="19"/>
      </tp>
      <tp t="s">
        <v>#N/A N/A</v>
        <stp/>
        <stp>BDH|12488300950594557012</stp>
        <tr r="BB13" s="20"/>
        <tr r="BB13" s="20"/>
        <tr r="D29" s="20"/>
      </tp>
      <tp t="s">
        <v>#N/A N/A</v>
        <stp/>
        <stp>BDH|13099525020747580375</stp>
        <tr r="AI11" s="19"/>
      </tp>
      <tp t="e">
        <v>#N/A</v>
        <stp/>
        <stp>BDH|17353674623615448637</stp>
        <tr r="AR18" s="20"/>
        <tr r="AR18" s="16"/>
      </tp>
      <tp t="s">
        <v>#N/A N/A</v>
        <stp/>
        <stp>BDH|18016871554895010000</stp>
        <tr r="AN13" s="20"/>
        <tr r="AN13" s="20"/>
      </tp>
      <tp t="s">
        <v>#N/A N/A</v>
        <stp/>
        <stp>BDH|13072021340460272731</stp>
        <tr r="AO8" s="19"/>
        <tr r="AO8" s="19"/>
      </tp>
      <tp t="s">
        <v>#N/A N/A</v>
        <stp/>
        <stp>BDH|10703649690196462923</stp>
        <tr r="BA14" s="16"/>
        <tr r="BA14" s="16"/>
      </tp>
      <tp t="s">
        <v>#N/A N/A</v>
        <stp/>
        <stp>BDH|15670253618342626490</stp>
        <tr r="BB16" s="16"/>
        <tr r="BB16" s="16"/>
        <tr r="D32" s="16"/>
      </tp>
      <tp t="e">
        <v>#N/A</v>
        <stp/>
        <stp>BDH|13235736436797657053</stp>
        <tr r="AK12" s="19"/>
        <tr r="AK12" s="19"/>
      </tp>
      <tp t="e">
        <v>#N/A</v>
        <stp/>
        <stp>BDH|17549718735311149272</stp>
        <tr r="AQ18" s="16"/>
        <tr r="AQ18" s="20"/>
      </tp>
      <tp t="s">
        <v>#N/A N/A</v>
        <stp/>
        <stp>BDH|16810342963871020287</stp>
        <tr r="AX12" s="20"/>
        <tr r="AX12" s="20"/>
      </tp>
      <tp t="e">
        <v>#N/A</v>
        <stp/>
        <stp>BDH|16184043163374031416</stp>
        <tr r="AM10" s="16"/>
        <tr r="AM10" s="16"/>
      </tp>
      <tp t="s">
        <v>#N/A N/A</v>
        <stp/>
        <stp>BDH|16056561016363270155</stp>
        <tr r="AL8" s="16"/>
        <tr r="AL8" s="16"/>
      </tp>
      <tp t="s">
        <v>#N/A N/A</v>
        <stp/>
        <stp>BDH|16087339738337873154</stp>
        <tr r="AZ9" s="16"/>
        <tr r="AZ9" s="16"/>
      </tp>
      <tp t="s">
        <v>#N/A N/A</v>
        <stp/>
        <stp>BDH|15014805721086657916</stp>
        <tr r="AG9" s="16"/>
      </tp>
      <tp t="s">
        <v>#N/A N/A</v>
        <stp/>
        <stp>BDH|13386127196922739963</stp>
        <tr r="BA8" s="19"/>
        <tr r="BA8" s="19"/>
      </tp>
      <tp t="s">
        <v>#N/A N/A</v>
        <stp/>
        <stp>BDH|13967872202213353897</stp>
        <tr r="AR7" s="16"/>
        <tr r="AR7" s="16"/>
      </tp>
      <tp t="s">
        <v>#N/A N/A</v>
        <stp/>
        <stp>BDH|12013962891550718298</stp>
        <tr r="AT15" s="16"/>
        <tr r="AT15" s="16"/>
      </tp>
      <tp t="s">
        <v>#N/A N/A</v>
        <stp/>
        <stp>BDH|16979869591863706401</stp>
        <tr r="AP14" s="19"/>
        <tr r="AP14" s="19"/>
      </tp>
      <tp t="s">
        <v>#N/A N/A</v>
        <stp/>
        <stp>BDH|12387764004130077594</stp>
        <tr r="AH13" s="20"/>
      </tp>
      <tp t="e">
        <v>#N/A</v>
        <stp/>
        <stp>BDH|12351734100083947618</stp>
        <tr r="AM12" s="19"/>
        <tr r="AM12" s="19"/>
      </tp>
      <tp t="s">
        <v>#N/A N/A</v>
        <stp/>
        <stp>BDH|10138856035599997236</stp>
        <tr r="AG11" s="16"/>
      </tp>
      <tp t="s">
        <v>#N/A N/A</v>
        <stp/>
        <stp>BDH|12511257568781701747</stp>
        <tr r="AZ10" s="20"/>
        <tr r="AZ10" s="20"/>
      </tp>
      <tp t="s">
        <v>#N/A N/A</v>
        <stp/>
        <stp>BDH|12320063508975378747</stp>
        <tr r="AH14" s="16"/>
      </tp>
      <tp t="s">
        <v>#N/A N/A</v>
        <stp/>
        <stp>BDH|13999679215652665608</stp>
        <tr r="AZ8" s="19"/>
        <tr r="AZ8" s="19"/>
      </tp>
      <tp t="s">
        <v>#N/A N/A</v>
        <stp/>
        <stp>BDH|13382847293013872107</stp>
        <tr r="AX8" s="19"/>
        <tr r="AX8" s="19"/>
      </tp>
      <tp t="e">
        <v>#N/A</v>
        <stp/>
        <stp>BDH|12012093391342398975</stp>
        <tr r="AR12" s="19"/>
        <tr r="AR12" s="19"/>
      </tp>
      <tp t="s">
        <v>#N/A N/A</v>
        <stp/>
        <stp>BDH|12477531549424747753</stp>
        <tr r="AW6" s="19"/>
        <tr r="AW6" s="19"/>
      </tp>
      <tp t="s">
        <v>#N/A N/A</v>
        <stp/>
        <stp>BDH|10887700642843544031</stp>
        <tr r="AM11" s="19"/>
        <tr r="AM11" s="19"/>
      </tp>
      <tp t="s">
        <v>#N/A N/A</v>
        <stp/>
        <stp>BDH|12084556232086926203</stp>
        <tr r="AF11" s="16"/>
      </tp>
      <tp t="s">
        <v>#N/A N/A</v>
        <stp/>
        <stp>BDH|17199595038513633285</stp>
        <tr r="AK13" s="16"/>
        <tr r="AK13" s="16"/>
      </tp>
      <tp t="s">
        <v>#N/A N/A</v>
        <stp/>
        <stp>BDH|10716830199867600657</stp>
        <tr r="AO12" s="20"/>
        <tr r="AO12" s="20"/>
      </tp>
      <tp>
        <v>-9.5000000000000001E-2</v>
        <stp/>
        <stp>BDP|17685304174389507109|22</stp>
        <stp>SFIM7Z7 comdty</stp>
        <stp>BID</stp>
        <tr r="F32" s="20"/>
        <tr r="F30" s="20"/>
      </tp>
      <tp t="s">
        <v>#N/A N/A</v>
        <stp/>
        <stp>BDP|14814123655703640202</stp>
        <tr r="K35" s="19"/>
      </tp>
      <tp t="s">
        <v>#N/A N/A</v>
        <stp/>
        <stp>BDP|12860302016466419724</stp>
        <tr r="K23" s="16"/>
      </tp>
      <tp t="s">
        <v>#N/A N/A</v>
        <stp/>
        <stp>BDP|11815018663507550130</stp>
        <tr r="J30" s="20"/>
        <tr r="J32" s="20"/>
      </tp>
      <tp t="s">
        <v>#N/A N/A</v>
        <stp/>
        <stp>BDH|14174645154872169412</stp>
        <tr r="AY15" s="19"/>
        <tr r="AY15" s="19"/>
      </tp>
      <tp t="s">
        <v>#N/A N/A</v>
        <stp/>
        <stp>BDH|15586464031676473571</stp>
        <tr r="AV15" s="16"/>
        <tr r="AV15" s="16"/>
      </tp>
      <tp t="s">
        <v>#N/A N/A</v>
        <stp/>
        <stp>BDH|17118409510484597752</stp>
        <tr r="AM9" s="19"/>
        <tr r="AM9" s="19"/>
      </tp>
      <tp t="s">
        <v>#N/A N/A</v>
        <stp/>
        <stp>BDH|12230806270075456968</stp>
        <tr r="AQ13" s="16"/>
        <tr r="AQ13" s="16"/>
      </tp>
      <tp t="s">
        <v>#N/A N/A</v>
        <stp/>
        <stp>BDH|17674159411206479068</stp>
        <tr r="AY7" s="16"/>
        <tr r="AY7" s="16"/>
      </tp>
      <tp t="s">
        <v>#N/A N/A</v>
        <stp/>
        <stp>BDH|15690185064360183381</stp>
        <tr r="AZ13" s="19"/>
        <tr r="AZ13" s="19"/>
      </tp>
      <tp t="s">
        <v>#N/A N/A</v>
        <stp/>
        <stp>BDH|15362736225993266256</stp>
        <tr r="AH6" s="19"/>
      </tp>
      <tp t="s">
        <v>#N/A N/A</v>
        <stp/>
        <stp>BDH|14179478645167366228</stp>
        <tr r="AG11" s="19"/>
      </tp>
      <tp t="s">
        <v>#N/A N/A</v>
        <stp/>
        <stp>BDH|12249141852937572048</stp>
        <tr r="AV13" s="20"/>
        <tr r="AV13" s="20"/>
      </tp>
      <tp t="s">
        <v>#N/A N/A</v>
        <stp/>
        <stp>BDH|15153530041447317250</stp>
        <tr r="AV8" s="16"/>
        <tr r="AV8" s="16"/>
      </tp>
      <tp t="e">
        <v>#N/A</v>
        <stp/>
        <stp>BDH|13279039856531458678</stp>
        <tr r="AH18" s="19"/>
      </tp>
      <tp t="s">
        <v>#N/A N/A</v>
        <stp/>
        <stp>BDH|11666123556841073552</stp>
        <tr r="AK9" s="20"/>
        <tr r="AK9" s="20"/>
      </tp>
      <tp t="e">
        <v>#N/A</v>
        <stp/>
        <stp>BDH|12283775458236396791</stp>
        <tr r="AS12" s="16"/>
        <tr r="AS12" s="16"/>
      </tp>
      <tp t="s">
        <v>#N/A N/A</v>
        <stp/>
        <stp>BDH|11209492352086814765</stp>
        <tr r="BB17" s="16"/>
        <tr r="BB17" s="16"/>
      </tp>
      <tp t="e">
        <v>#N/A</v>
        <stp/>
        <stp>BDH|16971742578495590269</stp>
        <tr r="AM16" s="20"/>
        <tr r="AM16" s="20"/>
        <tr r="AM14" s="20"/>
        <tr r="AM14" s="20"/>
      </tp>
      <tp t="e">
        <v>#N/A</v>
        <stp/>
        <stp>BDH|11121017821055045789</stp>
        <tr r="AH6" s="16"/>
      </tp>
      <tp t="s">
        <v>#N/A N/A</v>
        <stp/>
        <stp>BDH|12622867243568963738</stp>
        <tr r="AM9" s="20"/>
        <tr r="AM9" s="20"/>
      </tp>
      <tp t="s">
        <v>#N/A N/A</v>
        <stp/>
        <stp>BDH|14426075154939773998</stp>
        <tr r="AJ15" s="19"/>
        <tr r="AJ15" s="19"/>
      </tp>
      <tp t="s">
        <v>#N/A N/A</v>
        <stp/>
        <stp>BDH|14060890397486576220</stp>
        <tr r="AG15" s="20"/>
      </tp>
      <tp t="s">
        <v>#N/A N/A</v>
        <stp/>
        <stp>BDH|17708652808342715244</stp>
        <tr r="AI7" s="20"/>
        <tr r="AI7" s="20"/>
      </tp>
      <tp t="s">
        <v>#N/A N/A</v>
        <stp/>
        <stp>BDH|10241948756105269892</stp>
        <tr r="AX9" s="19"/>
        <tr r="AX9" s="19"/>
      </tp>
      <tp t="e">
        <v>#N/A</v>
        <stp/>
        <stp>BDH|11195253094713852836</stp>
        <tr r="AL17" s="19"/>
        <tr r="AL17" s="19"/>
      </tp>
      <tp t="s">
        <v>#N/A N/A</v>
        <stp/>
        <stp>BDH|13333989076038270457</stp>
        <tr r="AG9" s="20"/>
      </tp>
      <tp t="s">
        <v>#N/A N/A</v>
        <stp/>
        <stp>BDH|11281527704510743596</stp>
        <tr r="AX17" s="20"/>
        <tr r="AX17" s="20"/>
      </tp>
      <tp t="s">
        <v>#N/A N/A</v>
        <stp/>
        <stp>BDH|10378474548331113077</stp>
        <tr r="AW13" s="20"/>
        <tr r="AW13" s="20"/>
      </tp>
      <tp t="e">
        <v>#N/A</v>
        <stp/>
        <stp>BDH|14542870931417134987</stp>
        <tr r="AP12" s="16"/>
        <tr r="AP12" s="16"/>
      </tp>
      <tp t="s">
        <v>#N/A N/A</v>
        <stp/>
        <stp>BDH|17123211388894524803</stp>
        <tr r="AP14" s="16"/>
        <tr r="AP14" s="16"/>
      </tp>
      <tp t="s">
        <v>#N/A N/A</v>
        <stp/>
        <stp>BDH|17002095300123497514</stp>
        <tr r="BA10" s="16"/>
        <tr r="BA10" s="16"/>
      </tp>
      <tp t="e">
        <v>#N/A</v>
        <stp/>
        <stp>BDH|12866856973158752459</stp>
        <tr r="AK13" s="19"/>
        <tr r="AK13" s="19"/>
      </tp>
      <tp t="s">
        <v>#N/A N/A</v>
        <stp/>
        <stp>BDH|13701822586647909561</stp>
        <tr r="AW8" s="16"/>
        <tr r="AW8" s="16"/>
      </tp>
      <tp t="s">
        <v>#N/A N/A</v>
        <stp/>
        <stp>BDH|11996748750470006228</stp>
        <tr r="AP16" s="16"/>
        <tr r="AP16" s="16"/>
      </tp>
      <tp t="s">
        <v>#N/A N/A</v>
        <stp/>
        <stp>BDH|13737762060937858461</stp>
        <tr r="AM14" s="16"/>
        <tr r="AM14" s="16"/>
      </tp>
      <tp t="s">
        <v>#N/A N/A</v>
        <stp/>
        <stp>BDH|15784994908404974912</stp>
        <tr r="AQ14" s="19"/>
        <tr r="AQ14" s="19"/>
      </tp>
      <tp t="s">
        <v>#N/A N/A</v>
        <stp/>
        <stp>BDH|17834978338638926408</stp>
        <tr r="AQ11" s="16"/>
        <tr r="AQ11" s="16"/>
      </tp>
      <tp>
        <v>-0.13</v>
        <stp/>
        <stp>BDP|18048115068297468717|22</stp>
        <stp>SFRM6H7 comdty</stp>
        <stp>ASK</stp>
        <tr r="H39" s="19"/>
      </tp>
      <tp>
        <v>3747</v>
        <stp/>
        <stp>BDP|12178418933345200560|22</stp>
        <stp>SFIH7M7 comdty</stp>
        <stp>VOLUME</stp>
        <tr r="E26" s="20"/>
      </tp>
      <tp t="s">
        <v>#N/A N/A</v>
        <stp/>
        <stp>BDP|16814708856207477501</stp>
        <tr r="K25" s="16"/>
      </tp>
      <tp t="s">
        <v>#N/A Requesting Data...1274702997</v>
        <stp/>
        <stp>BDP|17971416662505780671</stp>
        <tr r="K33" s="19"/>
      </tp>
      <tp t="s">
        <v>#N/A N/A</v>
        <stp/>
        <stp>BDP|16045187279835682375</stp>
        <tr r="J26" s="20"/>
      </tp>
      <tp t="s">
        <v>#N/A N/A</v>
        <stp/>
        <stp>BDH|12480654817182340140</stp>
        <tr r="AQ9" s="16"/>
        <tr r="AQ9" s="16"/>
      </tp>
      <tp t="s">
        <v>#N/A N/A</v>
        <stp/>
        <stp>BDH|16565649023063483779</stp>
        <tr r="BA6" s="20"/>
        <tr r="BA6" s="20"/>
      </tp>
      <tp t="s">
        <v>#N/A N/A</v>
        <stp/>
        <stp>BDH|16692178787661233853</stp>
        <tr r="AG9" s="19"/>
      </tp>
      <tp t="s">
        <v>#N/A N/A</v>
        <stp/>
        <stp>BDH|13081037855151568131</stp>
        <tr r="AM7" s="16"/>
        <tr r="AM7" s="16"/>
      </tp>
      <tp t="e">
        <v>#N/A</v>
        <stp/>
        <stp>BDH|14010359573756555034</stp>
        <tr r="AP17" s="20"/>
        <tr r="AP17" s="20"/>
      </tp>
      <tp t="s">
        <v>#N/A N/A</v>
        <stp/>
        <stp>BDH|14887087122424901480</stp>
        <tr r="AU16" s="16"/>
        <tr r="AU16" s="16"/>
      </tp>
      <tp t="s">
        <v>#N/A N/A</v>
        <stp/>
        <stp>BDH|11202764068813773586</stp>
        <tr r="AY8" s="19"/>
        <tr r="AY8" s="19"/>
      </tp>
      <tp t="s">
        <v>#N/A N/A</v>
        <stp/>
        <stp>BDH|12194398560020904120</stp>
        <tr r="AI9" s="19"/>
      </tp>
      <tp t="s">
        <v>#N/A N/A</v>
        <stp/>
        <stp>BDH|10035528536008123876</stp>
        <tr r="AI7" s="16"/>
        <tr r="AI7" s="16"/>
      </tp>
      <tp t="s">
        <v>#N/A N/A</v>
        <stp/>
        <stp>BDH|10897837441403801975</stp>
        <tr r="BB12" s="19"/>
        <tr r="BB12" s="19"/>
      </tp>
      <tp t="s">
        <v>#N/A N/A</v>
        <stp/>
        <stp>BDH|16158690018214229374</stp>
        <tr r="AM13" s="16"/>
        <tr r="AM13" s="16"/>
      </tp>
      <tp t="s">
        <v>#N/A N/A</v>
        <stp/>
        <stp>BDH|11607517428619249980</stp>
        <tr r="AZ17" s="19"/>
        <tr r="AZ17" s="19"/>
      </tp>
      <tp t="s">
        <v>#N/A N/A</v>
        <stp/>
        <stp>BDH|14285768254507546714</stp>
        <tr r="AX11" s="20"/>
        <tr r="AX11" s="20"/>
      </tp>
      <tp t="s">
        <v>#N/A N/A</v>
        <stp/>
        <stp>BDH|10862988395450062626</stp>
        <tr r="AZ15" s="19"/>
        <tr r="AZ15" s="19"/>
      </tp>
      <tp t="e">
        <v>#N/A</v>
        <stp/>
        <stp>BDH|13435371017085776249</stp>
        <tr r="AG18" s="20"/>
        <tr r="AG18" s="16"/>
      </tp>
      <tp t="s">
        <v>#N/A N/A</v>
        <stp/>
        <stp>BDH|16391878442248961494</stp>
        <tr r="AX15" s="16"/>
        <tr r="AX15" s="16"/>
      </tp>
      <tp t="s">
        <v>#N/A N/A</v>
        <stp/>
        <stp>BDH|16006985788127051666</stp>
        <tr r="BB14" s="19"/>
        <tr r="BB14" s="19"/>
      </tp>
      <tp t="s">
        <v>#N/A N/A</v>
        <stp/>
        <stp>BDH|11147794523406362415</stp>
        <tr r="AZ16" s="19"/>
        <tr r="AZ16" s="19"/>
        <tr r="AZ10" s="19"/>
        <tr r="AZ10" s="19"/>
      </tp>
      <tp t="s">
        <v>#N/A N/A</v>
        <stp/>
        <stp>BDH|15837505961965146500</stp>
        <tr r="AP9" s="19"/>
        <tr r="AP9" s="19"/>
      </tp>
      <tp t="e">
        <v>#N/A</v>
        <stp/>
        <stp>BDH|12987465953552583725</stp>
        <tr r="AO6" s="16"/>
        <tr r="AO6" s="16"/>
      </tp>
      <tp t="e">
        <v>#N/A</v>
        <stp/>
        <stp>BDH|14975028255373612425</stp>
        <tr r="AO17" s="20"/>
        <tr r="AO17" s="20"/>
      </tp>
      <tp t="e">
        <v>#N/A</v>
        <stp/>
        <stp>BDH|12675911346480277996</stp>
        <tr r="AM18" s="19"/>
        <tr r="AM18" s="19"/>
      </tp>
      <tp t="s">
        <v>#N/A N/A</v>
        <stp/>
        <stp>BDH|12682771779416719224</stp>
        <tr r="AL11" s="16"/>
        <tr r="AL11" s="16"/>
      </tp>
      <tp t="s">
        <v>#N/A N/A</v>
        <stp/>
        <stp>BDH|11230476255590895654</stp>
        <tr r="AI10" s="20"/>
        <tr r="AI10" s="20"/>
      </tp>
      <tp t="s">
        <v>#N/A N/A</v>
        <stp/>
        <stp>BDH|16411346775927860327</stp>
        <tr r="AM8" s="16"/>
        <tr r="AM8" s="16"/>
      </tp>
      <tp t="s">
        <v>#N/A N/A</v>
        <stp/>
        <stp>BDH|12276192650517163758</stp>
        <tr r="AP6" s="19"/>
        <tr r="AP6" s="19"/>
      </tp>
      <tp t="e">
        <v>#N/A</v>
        <stp/>
        <stp>BDH|10316490376515393014</stp>
        <tr r="AI12" s="16"/>
        <tr r="AI12" s="16"/>
      </tp>
      <tp t="s">
        <v>#N/A N/A</v>
        <stp/>
        <stp>BDH|11321481934228872898</stp>
        <tr r="AH9" s="20"/>
      </tp>
      <tp>
        <v>0.17</v>
        <stp/>
        <stp>BDP|13123142667691617964|22</stp>
        <stp>SFIM6U6 comdty</stp>
        <stp>ASK</stp>
        <tr r="G24" s="20"/>
      </tp>
      <tp t="s">
        <v>#N/A N/A</v>
        <stp/>
        <stp>BDP|12853942041399197133</stp>
        <tr r="K28" s="19"/>
      </tp>
      <tp t="s">
        <v>#N/A Requesting Data...3557333622</v>
        <stp/>
        <stp>BDP|16645052469961351693</stp>
        <tr r="C27" s="20"/>
      </tp>
      <tp t="s">
        <v>#N/A N/A</v>
        <stp/>
        <stp>BDP|15693701685768009514</stp>
        <tr r="D28" s="19"/>
      </tp>
      <tp t="s">
        <v>#N/A Requesting Data...3283313624</v>
        <stp/>
        <stp>BDP|16362054165293939484</stp>
        <tr r="K34" s="19"/>
      </tp>
      <tp t="s">
        <v>#N/A N/A</v>
        <stp/>
        <stp>BDP|13626307805910476711</stp>
        <tr r="L38" s="19"/>
      </tp>
      <tp t="s">
        <v>#N/A N/A</v>
        <stp/>
        <stp>BDH|13559952605164398976</stp>
        <tr r="AQ8" s="19"/>
        <tr r="AQ8" s="19"/>
      </tp>
      <tp t="e">
        <v>#N/A</v>
        <stp/>
        <stp>BDH|11378295423124060288</stp>
        <tr r="AN11" s="20"/>
        <tr r="AN11" s="20"/>
      </tp>
      <tp t="e">
        <v>#N/A</v>
        <stp/>
        <stp>BDH|10173065636543628760</stp>
        <tr r="AO12" s="19"/>
        <tr r="AO12" s="19"/>
      </tp>
      <tp t="e">
        <v>#N/A</v>
        <stp/>
        <stp>BDH|15317617960074529675</stp>
        <tr r="AH6" s="20"/>
      </tp>
      <tp t="s">
        <v>#N/A N/A</v>
        <stp/>
        <stp>BDH|11020607026274002658</stp>
        <tr r="AM7" s="20"/>
        <tr r="AM7" s="20"/>
      </tp>
      <tp t="s">
        <v>#N/A N/A</v>
        <stp/>
        <stp>BDH|17921054723462585097</stp>
        <tr r="AM16" s="16"/>
        <tr r="AM16" s="16"/>
      </tp>
      <tp t="s">
        <v>#N/A N/A</v>
        <stp/>
        <stp>BDH|12706551524385333770</stp>
        <tr r="AZ12" s="20"/>
        <tr r="AZ12" s="20"/>
      </tp>
      <tp t="s">
        <v>#N/A N/A</v>
        <stp/>
        <stp>BDH|18134829526940625514</stp>
        <tr r="AM7" s="19"/>
        <tr r="AM7" s="19"/>
      </tp>
      <tp t="s">
        <v>#N/A N/A</v>
        <stp/>
        <stp>BDH|12537725535642508335</stp>
        <tr r="AF10" s="20"/>
      </tp>
      <tp t="s">
        <v>#N/A N/A</v>
        <stp/>
        <stp>BDH|15664491354863423082</stp>
        <tr r="AW7" s="20"/>
        <tr r="AW7" s="20"/>
      </tp>
      <tp t="e">
        <v>#N/A</v>
        <stp/>
        <stp>BDH|17936582754090070025</stp>
        <tr r="AL8" s="20"/>
        <tr r="AL8" s="20"/>
      </tp>
      <tp t="s">
        <v>#N/A N/A</v>
        <stp/>
        <stp>BDH|11644531821021701044</stp>
        <tr r="AH11" s="19"/>
      </tp>
      <tp t="s">
        <v>#N/A N/A</v>
        <stp/>
        <stp>BDH|12027103906764472042</stp>
        <tr r="AG12" s="20"/>
      </tp>
      <tp t="s">
        <v>#N/A N/A</v>
        <stp/>
        <stp>BDH|12577489993790266842</stp>
        <tr r="AT11" s="16"/>
        <tr r="AT11" s="16"/>
      </tp>
      <tp t="s">
        <v>#N/A N/A</v>
        <stp/>
        <stp>BDH|17935901205808753102</stp>
        <tr r="AN15" s="19"/>
        <tr r="AN15" s="19"/>
      </tp>
      <tp t="e">
        <v>#N/A</v>
        <stp/>
        <stp>BDH|11311612429037455559</stp>
        <tr r="AQ10" s="16"/>
        <tr r="AQ10" s="16"/>
      </tp>
      <tp t="e">
        <v>#N/A</v>
        <stp/>
        <stp>BDH|15924789600272826738</stp>
        <tr r="AW6" s="16"/>
        <tr r="AW6" s="16"/>
      </tp>
      <tp t="s">
        <v>#N/A N/A</v>
        <stp/>
        <stp>BDH|17937301452622586436</stp>
        <tr r="AK8" s="19"/>
        <tr r="AK8" s="19"/>
      </tp>
      <tp t="s">
        <v>#N/A N/A</v>
        <stp/>
        <stp>BDH|11250014679422248352</stp>
        <tr r="AY15" s="20"/>
        <tr r="AY15" s="20"/>
      </tp>
      <tp t="s">
        <v>#N/A N/A</v>
        <stp/>
        <stp>BDH|10302421798648621220</stp>
        <tr r="BB9" s="19"/>
        <tr r="BB9" s="19"/>
      </tp>
      <tp t="s">
        <v>#N/A N/A</v>
        <stp/>
        <stp>BDH|10639214388778632556</stp>
        <tr r="AW7" s="19"/>
        <tr r="AW7" s="19"/>
      </tp>
      <tp t="s">
        <v>#N/A N/A</v>
        <stp/>
        <stp>BDH|16930763620984928099</stp>
        <tr r="AI11" s="16"/>
        <tr r="AI11" s="16"/>
      </tp>
      <tp t="s">
        <v>#N/A N/A</v>
        <stp/>
        <stp>BDH|11257055169042580254</stp>
        <tr r="BA17" s="20"/>
        <tr r="BA17" s="20"/>
      </tp>
      <tp t="s">
        <v>#N/A N/A</v>
        <stp/>
        <stp>BDH|12673265971766823674</stp>
        <tr r="AX10" s="16"/>
        <tr r="AX10" s="16"/>
      </tp>
      <tp>
        <v>0.19500000000000001</v>
        <stp/>
        <stp>BDP|3532582333599016892|22</stp>
        <stp>ERM6ERU6 comdty</stp>
        <stp>ASK</stp>
        <tr r="G28" s="16"/>
      </tp>
      <tp t="s">
        <v>#N/A N/A</v>
        <stp/>
        <stp>BDP|11903553499790491995</stp>
        <tr r="K29" s="20"/>
      </tp>
      <tp t="s">
        <v>#N/A N/A</v>
        <stp/>
        <stp>BDP|11858873501064096938</stp>
        <tr r="C31" s="16"/>
      </tp>
      <tp t="s">
        <v>#N/A N/A</v>
        <stp/>
        <stp>BDH|16013557313626406038</stp>
        <tr r="AQ15" s="16"/>
        <tr r="AQ15" s="16"/>
      </tp>
      <tp t="s">
        <v>#N/A N/A</v>
        <stp/>
        <stp>BDH|18104577855578667441</stp>
        <tr r="BC10" s="19"/>
        <tr r="BC10" s="19"/>
        <tr r="BC16" s="19"/>
        <tr r="BC16" s="19"/>
        <tr r="E31" s="19"/>
        <tr r="E37" s="19"/>
      </tp>
      <tp t="s">
        <v>#N/A N/A</v>
        <stp/>
        <stp>BDH|14267378736642343205</stp>
        <tr r="AV9" s="20"/>
        <tr r="AV9" s="20"/>
      </tp>
      <tp t="s">
        <v>#N/A N/A</v>
        <stp/>
        <stp>BDH|15628486734114898223</stp>
        <tr r="AY6" s="16"/>
        <tr r="AY6" s="16"/>
      </tp>
      <tp t="s">
        <v>#N/A N/A</v>
        <stp/>
        <stp>BDH|14577749326977470230</stp>
        <tr r="AJ16" s="16"/>
        <tr r="AJ16" s="16"/>
      </tp>
      <tp t="s">
        <v>#N/A N/A</v>
        <stp/>
        <stp>BDH|12251546397458312220</stp>
        <tr r="AK7" s="19"/>
        <tr r="AK7" s="19"/>
      </tp>
      <tp t="s">
        <v>#N/A N/A</v>
        <stp/>
        <stp>BDH|13174327635167718027</stp>
        <tr r="AX8" s="16"/>
        <tr r="AX8" s="16"/>
      </tp>
      <tp t="s">
        <v>#N/A N/A</v>
        <stp/>
        <stp>BDH|10438500960026310144</stp>
        <tr r="AH8" s="16"/>
      </tp>
      <tp t="e">
        <v>#N/A</v>
        <stp/>
        <stp>BDH|16202312791929270123</stp>
        <tr r="AK17" s="16"/>
        <tr r="AK17" s="16"/>
      </tp>
      <tp t="e">
        <v>#N/A</v>
        <stp/>
        <stp>BDH|11475569325171692339</stp>
        <tr r="AN10" s="16"/>
        <tr r="AN10" s="16"/>
      </tp>
      <tp t="s">
        <v>#N/A N/A</v>
        <stp/>
        <stp>BDH|12173725311192541252</stp>
        <tr r="AG6" s="19"/>
      </tp>
      <tp t="e">
        <v>#N/A</v>
        <stp/>
        <stp>BDH|12280909991156634009</stp>
        <tr r="AM6" s="20"/>
        <tr r="AM6" s="20"/>
      </tp>
      <tp t="e">
        <v>#N/A</v>
        <stp/>
        <stp>BDH|18191641586414476624</stp>
        <tr r="AT8" s="20"/>
        <tr r="AT8" s="20"/>
      </tp>
      <tp t="e">
        <v>#N/A</v>
        <stp/>
        <stp>BDH|11977040918682670679</stp>
        <tr r="AR13" s="19"/>
        <tr r="AR13" s="19"/>
      </tp>
      <tp t="e">
        <v>#N/A</v>
        <stp/>
        <stp>BDH|15340853484367547633</stp>
        <tr r="AH17" s="19"/>
      </tp>
      <tp t="e">
        <v>#N/A</v>
        <stp/>
        <stp>BDH|14122793445715154682</stp>
        <tr r="AI12" s="19"/>
      </tp>
      <tp t="s">
        <v>#N/A N/A</v>
        <stp/>
        <stp>BDH|12031382813012935658</stp>
        <tr r="AL8" s="19"/>
        <tr r="AL8" s="19"/>
      </tp>
      <tp t="e">
        <v>#N/A</v>
        <stp/>
        <stp>BDH|15288576106117002347</stp>
        <tr r="AQ18" s="19"/>
        <tr r="AQ18" s="19"/>
      </tp>
      <tp t="s">
        <v>#N/A N/A</v>
        <stp/>
        <stp>BDH|13604056477889740951</stp>
        <tr r="BB8" s="19"/>
        <tr r="BB8" s="19"/>
      </tp>
      <tp t="s">
        <v>#N/A N/A</v>
        <stp/>
        <stp>BDH|17209625345756086734</stp>
        <tr r="AR14" s="19"/>
        <tr r="AR14" s="19"/>
      </tp>
      <tp t="e">
        <v>#N/A</v>
        <stp/>
        <stp>BDH|13584233540050646168</stp>
        <tr r="AO10" s="16"/>
        <tr r="AO10" s="16"/>
      </tp>
      <tp t="e">
        <v>#N/A</v>
        <stp/>
        <stp>BDH|18093081888347924303</stp>
        <tr r="AL18" s="16"/>
        <tr r="AL18" s="20"/>
      </tp>
      <tp t="e">
        <v>#N/A</v>
        <stp/>
        <stp>BDH|13576974643468926207</stp>
        <tr r="AQ14" s="20"/>
        <tr r="AQ14" s="20"/>
        <tr r="AQ16" s="20"/>
        <tr r="AQ16" s="20"/>
      </tp>
      <tp t="s">
        <v>#N/A N/A</v>
        <stp/>
        <stp>BDH|14457238076870170583</stp>
        <tr r="AY12" s="19"/>
        <tr r="AY12" s="19"/>
      </tp>
      <tp t="s">
        <v>#N/A N/A</v>
        <stp/>
        <stp>BDH|18043056034537897822</stp>
        <tr r="AV16" s="16"/>
        <tr r="AV16" s="16"/>
      </tp>
      <tp t="s">
        <v>#N/A N/A</v>
        <stp/>
        <stp>BDH|17994754636597550058</stp>
        <tr r="AV7" s="20"/>
        <tr r="AV7" s="20"/>
      </tp>
      <tp t="s">
        <v>#N/A N/A</v>
        <stp/>
        <stp>BDH|15833665982817326826</stp>
        <tr r="AT8" s="16"/>
        <tr r="AT8" s="16"/>
      </tp>
      <tp t="e">
        <v>#N/A</v>
        <stp/>
        <stp>BDH|10013959958230284827</stp>
        <tr r="AH17" s="16"/>
      </tp>
      <tp t="e">
        <v>#N/A</v>
        <stp/>
        <stp>BDH|15556057598638308078</stp>
        <tr r="AT12" s="19"/>
        <tr r="AT12" s="19"/>
      </tp>
      <tp t="e">
        <v>#N/A</v>
        <stp/>
        <stp>BDH|16670595920242742743</stp>
        <tr r="AM12" s="16"/>
        <tr r="AM12" s="16"/>
      </tp>
      <tp t="s">
        <v>#N/A N/A</v>
        <stp/>
        <stp>BDH|16822207848550979469</stp>
        <tr r="BB17" s="20"/>
        <tr r="BB17" s="20"/>
      </tp>
      <tp t="s">
        <v>#N/A N/A</v>
        <stp/>
        <stp>BDH|10448270700631555789</stp>
        <tr r="AF15" s="20"/>
      </tp>
      <tp t="s">
        <v>#N/A N/A</v>
        <stp/>
        <stp>BDH|17804687447394916509</stp>
        <tr r="AL6" s="19"/>
        <tr r="AL6" s="19"/>
      </tp>
      <tp t="s">
        <v>#N/A N/A</v>
        <stp/>
        <stp>BDH|12842552431843269308</stp>
        <tr r="AJ7" s="16"/>
        <tr r="AJ7" s="16"/>
      </tp>
      <tp t="s">
        <v>#N/A N/A</v>
        <stp/>
        <stp>BDP|15540874096802843301</stp>
        <tr r="D41" s="19"/>
        <tr r="D40" s="19"/>
      </tp>
      <tp t="s">
        <v>#N/A N/A</v>
        <stp/>
        <stp>BDP|16093826048556264992</stp>
        <tr r="J31" s="20"/>
      </tp>
      <tp t="s">
        <v>#N/A N/A</v>
        <stp/>
        <stp>BDP|13911466221934806416</stp>
        <tr r="C25" s="20"/>
      </tp>
      <tp t="s">
        <v>#N/A N/A</v>
        <stp/>
        <stp>BDH|15456167832693490155</stp>
        <tr r="BB16" s="19"/>
        <tr r="BB16" s="19"/>
        <tr r="BB10" s="19"/>
        <tr r="BB10" s="19"/>
      </tp>
      <tp t="e">
        <v>#N/A</v>
        <stp/>
        <stp>BDH|13952984051212389826</stp>
        <tr r="AO11" s="20"/>
        <tr r="AO11" s="20"/>
      </tp>
      <tp t="s">
        <v>#N/A N/A</v>
        <stp/>
        <stp>BDH|12094311253286376709</stp>
        <tr r="AV6" s="19"/>
        <tr r="AV6" s="19"/>
      </tp>
      <tp t="e">
        <v>#N/A</v>
        <stp/>
        <stp>BDH|12248107905856304060</stp>
        <tr r="AH12" s="16"/>
      </tp>
      <tp t="s">
        <v>#N/A N/A</v>
        <stp/>
        <stp>BDH|10419433010809675937</stp>
        <tr r="AZ10" s="16"/>
        <tr r="AZ10" s="16"/>
      </tp>
      <tp t="s">
        <v>#N/A N/A</v>
        <stp/>
        <stp>BDH|15112084784830725887</stp>
        <tr r="AH15" s="20"/>
      </tp>
      <tp t="e">
        <v>#N/A</v>
        <stp/>
        <stp>BDH|17320101911424669669</stp>
        <tr r="AW18" s="16"/>
        <tr r="AW18" s="20"/>
      </tp>
      <tp t="s">
        <v>#N/A N/A</v>
        <stp/>
        <stp>BDH|16431647607063648637</stp>
        <tr r="AK15" s="19"/>
        <tr r="AK15" s="19"/>
      </tp>
      <tp t="s">
        <v>#N/A N/A</v>
        <stp/>
        <stp>BDH|17390602676745767664</stp>
        <tr r="AO9" s="20"/>
        <tr r="AO9" s="20"/>
      </tp>
      <tp t="s">
        <v>#N/A N/A</v>
        <stp/>
        <stp>BDH|15432076316131459053</stp>
        <tr r="AV9" s="16"/>
        <tr r="AV9" s="16"/>
      </tp>
      <tp t="e">
        <v>#N/A</v>
        <stp/>
        <stp>BDH|14357852080613006212</stp>
        <tr r="AG8" s="20"/>
      </tp>
      <tp t="e">
        <v>#N/A</v>
        <stp/>
        <stp>BDH|13044185980379617697</stp>
        <tr r="AN8" s="20"/>
        <tr r="AN8" s="20"/>
      </tp>
      <tp t="e">
        <v>#N/A</v>
        <stp/>
        <stp>BDH|14894628731484896052</stp>
        <tr r="AQ17" s="19"/>
        <tr r="AQ17" s="19"/>
      </tp>
      <tp t="s">
        <v>#N/A N/A</v>
        <stp/>
        <stp>BDH|15755508019150894406</stp>
        <tr r="BB18" s="20"/>
        <tr r="BB18" s="16"/>
        <tr r="E40" s="19"/>
        <tr r="E41" s="19"/>
      </tp>
      <tp t="s">
        <v>#N/A N/A</v>
        <stp/>
        <stp>BDH|11730649165874410040</stp>
        <tr r="AV15" s="19"/>
        <tr r="AV15" s="19"/>
      </tp>
      <tp t="s">
        <v>#N/A N/A</v>
        <stp/>
        <stp>BDH|16167329473796115191</stp>
        <tr r="AR6" s="19"/>
        <tr r="AR6" s="19"/>
      </tp>
      <tp t="e">
        <v>#N/A</v>
        <stp/>
        <stp>BDH|12393328303803340790</stp>
        <tr r="AI16" s="19"/>
        <tr r="AI10" s="19"/>
      </tp>
      <tp t="e">
        <v>#N/A</v>
        <stp/>
        <stp>BDH|10776012879611480337</stp>
        <tr r="AF14" s="20"/>
        <tr r="AF16" s="20"/>
      </tp>
      <tp t="s">
        <v>#N/A N/A</v>
        <stp/>
        <stp>BDH|14590308006007954518</stp>
        <tr r="AP13" s="16"/>
        <tr r="AP13" s="16"/>
      </tp>
      <tp t="e">
        <v>#N/A</v>
        <stp/>
        <stp>BDH|15729806898000073144</stp>
        <tr r="AN13" s="19"/>
        <tr r="AN13" s="19"/>
      </tp>
      <tp t="e">
        <v>#N/A</v>
        <stp/>
        <stp>BDH|16720031855646275084</stp>
        <tr r="AJ10" s="16"/>
        <tr r="AJ10" s="16"/>
      </tp>
      <tp t="s">
        <v>#N/A N/A</v>
        <stp/>
        <stp>BDH|15331493655873441216</stp>
        <tr r="AG8" s="16"/>
      </tp>
      <tp t="s">
        <v>#N/A N/A</v>
        <stp/>
        <stp>BDH|14616969360699319796</stp>
        <tr r="BB8" s="16"/>
        <tr r="BB8" s="16"/>
        <tr r="D24" s="16"/>
      </tp>
      <tp t="s">
        <v>#N/A N/A</v>
        <stp/>
        <stp>BDH|13429138046247830438</stp>
        <tr r="BA7" s="20"/>
        <tr r="BA7" s="20"/>
      </tp>
      <tp t="e">
        <v>#N/A</v>
        <stp/>
        <stp>BDH|14896281011901371380</stp>
        <tr r="AP16" s="19"/>
        <tr r="AP16" s="19"/>
        <tr r="AP10" s="19"/>
        <tr r="AP10" s="19"/>
      </tp>
      <tp t="s">
        <v>#N/A N/A</v>
        <stp/>
        <stp>BDH|10298625498508291204</stp>
        <tr r="AQ6" s="19"/>
        <tr r="AQ6" s="19"/>
      </tp>
      <tp t="s">
        <v>#N/A N/A</v>
        <stp/>
        <stp>BDH|17003042438504576565</stp>
        <tr r="AG10" s="20"/>
      </tp>
      <tp t="s">
        <v>#N/A N/A</v>
        <stp/>
        <stp>BDH|11192183406284764165</stp>
        <tr r="AN7" s="19"/>
        <tr r="AN7" s="19"/>
      </tp>
      <tp t="e">
        <v>#N/A</v>
        <stp/>
        <stp>BDH|17589303575564864267</stp>
        <tr r="AN18" s="20"/>
        <tr r="AN18" s="16"/>
      </tp>
      <tp>
        <v>-3.5000000000000003E-2</v>
        <stp/>
        <stp>BDP|314566651908911571|22</stp>
        <stp>ERH7ERH8 comdty</stp>
        <stp>BID</stp>
        <tr r="F32" s="16"/>
      </tp>
    </main>
    <main first="bofaddin.rtdserver">
      <tp>
        <v>0.14000000000000001</v>
        <stp/>
        <stp>BDP|9382539985138574072|22</stp>
        <stp>TKYERH7 comdty</stp>
        <stp>ASK</stp>
        <tr r="G31" s="16"/>
      </tp>
      <tp>
        <v>0.14000000000000001</v>
        <stp/>
        <stp>BDP|1904799494817111180|22</stp>
        <stp>TKYERM7 comdty</stp>
        <stp>BID</stp>
        <tr r="F24" s="16"/>
      </tp>
      <tp>
        <v>0.13750000000000001</v>
        <stp/>
        <stp>BDP|9934450056250464564|22</stp>
        <stp>TKYERZ6 comdty</stp>
        <stp>ASK</stp>
        <tr r="G23" s="16"/>
      </tp>
      <tp>
        <v>-0.09</v>
        <stp/>
        <stp>BDP|3438549310740056602|22</stp>
        <stp>SFIM7Z7 comdty</stp>
        <stp>ASK</stp>
        <tr r="G32" s="20"/>
        <tr r="G30" s="20"/>
      </tp>
      <tp>
        <v>0.13750000000000001</v>
        <stp/>
        <stp>BDP|7565796079305407242|22</stp>
        <stp>TKYERH7 comdty</stp>
        <stp>BID</stp>
        <tr r="F31" s="16"/>
      </tp>
      <tp>
        <v>-3.5000000000000003E-2</v>
        <stp/>
        <stp>BDP|4909249357243921845|22</stp>
        <stp>SFIH7M7 comdty</stp>
        <stp>ASK</stp>
        <tr r="G26" s="20"/>
      </tp>
      <tp>
        <v>0.14249999999999999</v>
        <stp/>
        <stp>BDP|8986028809065345305|22</stp>
        <stp>TKYERM7 comdty</stp>
        <stp>ASK</stp>
        <tr r="G24" s="16"/>
      </tp>
      <tp>
        <v>-0.05</v>
        <stp/>
        <stp>BDP|2867969765248409896|22</stp>
        <stp>SFRM6U6 comdty</stp>
        <stp>BID</stp>
        <tr r="G27" s="19"/>
      </tp>
      <tp>
        <v>-9.5000000000000001E-2</v>
        <stp/>
        <stp>BDP|7975996745417457266|22</stp>
        <stp>SFRM6Z6 comdty</stp>
        <stp>ASK</stp>
        <tr r="H31" s="19"/>
        <tr r="H37" s="19"/>
      </tp>
      <tp>
        <v>0.14249999999999999</v>
        <stp/>
        <stp>BDP|6863073761182282002|22</stp>
        <stp>TKYERU7 comdty</stp>
        <stp>ASK</stp>
        <tr r="G27" s="16"/>
      </tp>
      <tp>
        <v>-0.04</v>
        <stp/>
        <stp>BDP|1257787530374602452|22</stp>
        <stp>SFIH7M7 comdty</stp>
        <stp>BID</stp>
        <tr r="F26" s="20"/>
      </tp>
      <tp>
        <v>-0.09</v>
        <stp/>
        <stp>BDP|1316348627731101318|22</stp>
        <stp>SFRM7M8 comdty</stp>
        <stp>BID</stp>
        <tr r="G35" s="19"/>
      </tp>
      <tp>
        <v>6830</v>
        <stp/>
        <stp>BDP|208203330619617485|22</stp>
        <stp>ERU7ERZ7 comdty</stp>
        <stp>VOLUME</stp>
        <tr r="E25" s="16"/>
      </tp>
      <tp>
        <v>0.13500000000000001</v>
        <stp/>
        <stp>BDP|8844345756468528708|22</stp>
        <stp>TKYERM8 comdty</stp>
        <stp>BID</stp>
        <tr r="F29" s="16"/>
      </tp>
      <tp>
        <v>-8.5000000000000006E-2</v>
        <stp/>
        <stp>BDP|3546552779746000863|22</stp>
        <stp>SFRM7M8 comdty</stp>
        <stp>ASK</stp>
        <tr r="H35" s="19"/>
      </tp>
      <tp>
        <v>0.13750000000000001</v>
        <stp/>
        <stp>BDP|6199061808741421397|22</stp>
        <stp>TKYERM8 comdty</stp>
        <stp>ASK</stp>
        <tr r="G29" s="16"/>
      </tp>
      <tp>
        <v>0.13500000000000001</v>
        <stp/>
        <stp>BDP|1197634031620718450|22</stp>
        <stp>TKYERU6 comdty</stp>
        <stp>ASK</stp>
        <tr r="G26" s="16"/>
      </tp>
      <tp>
        <v>5114</v>
        <stp/>
        <stp>BDP|203340236646819630|22</stp>
        <stp>SFRZ6M7 comdty</stp>
        <stp>VOLUME</stp>
        <tr r="F30" s="19"/>
      </tp>
      <tp>
        <v>-0.13500000000000001</v>
        <stp/>
        <stp>BDP|8194967094850254071|22</stp>
        <stp>SFRM6H7 comdty</stp>
        <stp>BID</stp>
        <tr r="G39" s="19"/>
      </tp>
      <tp>
        <v>-4.4999999999999998E-2</v>
        <stp/>
        <stp>BDP|2540717577239566776|22</stp>
        <stp>SFRM6U6 comdty</stp>
        <stp>ASK</stp>
        <tr r="H27" s="19"/>
      </tp>
      <tp>
        <v>0.14000000000000001</v>
        <stp/>
        <stp>BDP|7921017486393145979|22</stp>
        <stp>TKYERU7 comdty</stp>
        <stp>BID</stp>
        <tr r="F27" s="16"/>
      </tp>
      <tp>
        <v>-0.14499999999999999</v>
        <stp/>
        <stp>BDP|2788300957503653801|22</stp>
        <stp>SFIZ6Z7 comdty</stp>
        <stp>BID</stp>
        <tr r="F23" s="20"/>
      </tp>
      <tp>
        <v>-0.01</v>
        <stp/>
        <stp>BDP|6972032114112617679|22</stp>
        <stp>SFIZ6H7 comdty</stp>
        <stp>ASK</stp>
        <tr r="G22" s="20"/>
      </tp>
      <tp>
        <v>0.04</v>
        <stp/>
        <stp>BDP|15185058000268832540|22</stp>
        <stp>ERZ7ERM8 comdty</stp>
        <stp>ASK</stp>
        <tr r="G30" s="16"/>
      </tp>
      <tp>
        <v>-0.20499999999999999</v>
        <stp/>
        <stp>BDP|7636054876034444430|22</stp>
        <stp>SFRZ6Z7 comdty</stp>
        <stp>BID</stp>
        <tr r="G33" s="19"/>
      </tp>
      <tp>
        <v>-0.11</v>
        <stp/>
        <stp>BDP|2294055121561334038|22</stp>
        <stp>SFRZ6Z8 comdty</stp>
        <stp>BID</stp>
        <tr r="G38" s="19"/>
      </tp>
      <tp>
        <v>-8.5000000000000006E-2</v>
        <stp/>
        <stp>BDP|4162688293175152103|22</stp>
        <stp>SFRU6H7 comdty</stp>
        <stp>ASK</stp>
        <tr r="H34" s="19"/>
      </tp>
      <tp>
        <v>0.19</v>
        <stp/>
        <stp>BDP|13119537355409012169|22</stp>
        <stp>ERM6ERU6 comdty</stp>
        <stp>BID</stp>
        <tr r="F28" s="16"/>
      </tp>
      <tp t="s">
        <v>#N/A N/A</v>
        <stp/>
        <stp>BDH|4326855720044959650</stp>
        <tr r="AW10" s="20"/>
        <tr r="AW10" s="20"/>
      </tp>
      <tp t="s">
        <v>#N/A N/A</v>
        <stp/>
        <stp>BDH|9121629203382377192</stp>
        <tr r="AS6" s="19"/>
        <tr r="AS6" s="19"/>
      </tp>
      <tp t="s">
        <v>#N/A N/A</v>
        <stp/>
        <stp>BDH|2609263650578365181</stp>
        <tr r="AG13" s="16"/>
      </tp>
      <tp t="e">
        <v>#N/A</v>
        <stp/>
        <stp>BDH|7280687376659096375</stp>
        <tr r="AN12" s="16"/>
        <tr r="AN12" s="16"/>
      </tp>
      <tp t="s">
        <v>#N/A N/A</v>
        <stp/>
        <stp>BDP|8835522566922752526</stp>
        <tr r="D27" s="19"/>
      </tp>
      <tp t="e">
        <v>#N/A</v>
        <stp/>
        <stp>BDH|6268882434227450638</stp>
        <tr r="AO13" s="19"/>
        <tr r="AO13" s="19"/>
      </tp>
      <tp t="s">
        <v>#N/A N/A</v>
        <stp/>
        <stp>BDH|4026884546192249628</stp>
        <tr r="AF7" s="16"/>
      </tp>
      <tp t="s">
        <v>#N/A N/A</v>
        <stp/>
        <stp>BDH|6276699804279124502</stp>
        <tr r="AS16" s="16"/>
        <tr r="AS16" s="16"/>
      </tp>
      <tp t="s">
        <v>#N/A N/A</v>
        <stp/>
        <stp>BDP|9848347783269741772</stp>
        <tr r="K39" s="19"/>
      </tp>
      <tp t="e">
        <v>#N/A</v>
        <stp/>
        <stp>BDH|5122249689833203010</stp>
        <tr r="AF8" s="20"/>
      </tp>
      <tp t="s">
        <v>#N/A N/A</v>
        <stp/>
        <stp>BDH|7521644230758901677</stp>
        <tr r="AK12" s="20"/>
        <tr r="AK12" s="20"/>
      </tp>
      <tp t="e">
        <v>#N/A</v>
        <stp/>
        <stp>BDH|5938446040910137936</stp>
        <tr r="AS17" s="19"/>
        <tr r="AS17" s="19"/>
      </tp>
      <tp t="s">
        <v>#N/A N/A</v>
        <stp/>
        <stp>BDH|7084582675201654847</stp>
        <tr r="AI15" s="19"/>
      </tp>
      <tp t="s">
        <v>#N/A N/A</v>
        <stp/>
        <stp>BDH|6972460286977223141</stp>
        <tr r="BA14" s="19"/>
        <tr r="BA14" s="19"/>
      </tp>
      <tp t="s">
        <v>#N/A N/A</v>
        <stp/>
        <stp>BDH|8778790004311425218</stp>
        <tr r="AY10" s="19"/>
        <tr r="AY10" s="19"/>
        <tr r="AY16" s="19"/>
        <tr r="AY16" s="19"/>
      </tp>
      <tp t="s">
        <v>#N/A N/A</v>
        <stp/>
        <stp>BDH|5070519548091208977</stp>
        <tr r="AR15" s="16"/>
        <tr r="AR15" s="16"/>
      </tp>
      <tp t="e">
        <v>#N/A</v>
        <stp/>
        <stp>BDH|9780895041871491864</stp>
        <tr r="AO8" s="20"/>
        <tr r="AO8" s="20"/>
      </tp>
      <tp t="e">
        <v>#N/A</v>
        <stp/>
        <stp>BDH|6853644727158058697</stp>
        <tr r="AX12" s="19"/>
        <tr r="AX12" s="19"/>
      </tp>
      <tp t="e">
        <v>#N/A</v>
        <stp/>
        <stp>BDH|4447723608848910750</stp>
        <tr r="AN14" s="20"/>
        <tr r="AN14" s="20"/>
        <tr r="AN16" s="20"/>
        <tr r="AN16" s="20"/>
      </tp>
      <tp t="e">
        <v>#N/A</v>
        <stp/>
        <stp>BDH|9503428975973573558</stp>
        <tr r="AL16" s="19"/>
        <tr r="AL16" s="19"/>
        <tr r="AL10" s="19"/>
        <tr r="AL10" s="19"/>
      </tp>
      <tp t="s">
        <v>#N/A N/A</v>
        <stp/>
        <stp>BDH|4802080371958524772</stp>
        <tr r="BA8" s="16"/>
        <tr r="BA8" s="16"/>
      </tp>
      <tp t="s">
        <v>#N/A N/A</v>
        <stp/>
        <stp>BDH|9683640758814819218</stp>
        <tr r="BC17" s="19"/>
        <tr r="BC17" s="19"/>
        <tr r="E38" s="19"/>
      </tp>
      <tp t="e">
        <v>#N/A</v>
        <stp/>
        <stp>BDH|3027391537198510789</stp>
        <tr r="AW8" s="20"/>
        <tr r="AW8" s="20"/>
      </tp>
      <tp t="s">
        <v>#N/A Requesting Data...4232943879</v>
        <stp/>
        <stp>BDP|4350434205414510806</stp>
        <tr r="K22" s="20"/>
      </tp>
      <tp t="s">
        <v>#N/A N/A</v>
        <stp/>
        <stp>BDH|6314171757618172633</stp>
        <tr r="AW12" s="20"/>
        <tr r="AW12" s="20"/>
      </tp>
      <tp t="s">
        <v>#N/A N/A</v>
        <stp/>
        <stp>BDH|1744439644145750863</stp>
        <tr r="BA9" s="16"/>
        <tr r="BA9" s="16"/>
      </tp>
      <tp t="s">
        <v>#N/A N/A</v>
        <stp/>
        <stp>BDH|3453961306366614039</stp>
        <tr r="AU6" s="19"/>
        <tr r="AU6" s="19"/>
      </tp>
      <tp t="s">
        <v>#N/A N/A</v>
        <stp/>
        <stp>BDH|1217973955575694406</stp>
        <tr r="AU11" s="16"/>
        <tr r="AU11" s="16"/>
      </tp>
      <tp t="s">
        <v>#N/A N/A</v>
        <stp/>
        <stp>BDH|5236077737982154853</stp>
        <tr r="AP7" s="16"/>
        <tr r="AP7" s="16"/>
      </tp>
      <tp t="e">
        <v>#N/A</v>
        <stp/>
        <stp>BDH|5555675050862739830</stp>
        <tr r="AG6" s="16"/>
      </tp>
      <tp t="s">
        <v>#N/A N/A</v>
        <stp/>
        <stp>BDP|7138389692634853546</stp>
        <tr r="K30" s="20"/>
        <tr r="K32" s="20"/>
      </tp>
      <tp t="e">
        <v>#N/A</v>
        <stp/>
        <stp>BDH|4817829970500510780</stp>
        <tr r="AV17" s="19"/>
        <tr r="AV17" s="19"/>
      </tp>
      <tp t="s">
        <v>#N/A N/A</v>
        <stp/>
        <stp>BDH|5333723525648763474</stp>
        <tr r="BA8" s="20"/>
        <tr r="BA8" s="20"/>
      </tp>
      <tp t="s">
        <v>#N/A N/A</v>
        <stp/>
        <stp>BDH|8007552712237160735</stp>
        <tr r="AZ11" s="20"/>
        <tr r="AZ11" s="20"/>
      </tp>
      <tp t="e">
        <v>#N/A</v>
        <stp/>
        <stp>BDH|7005881342823682497</stp>
        <tr r="AI16" s="20"/>
        <tr r="AI16" s="20"/>
        <tr r="AI14" s="20"/>
        <tr r="AI14" s="20"/>
      </tp>
      <tp>
        <v>-3.5000000000000003E-2</v>
        <stp/>
        <stp>BDP|917146982843150830|22</stp>
        <stp>SFRZ6H7 comdty</stp>
        <stp>ASK</stp>
        <tr r="H28" s="19"/>
      </tp>
      <tp t="s">
        <v>#N/A N/A</v>
        <stp/>
        <stp>BDH|9475410230391842275</stp>
        <tr r="BC7" s="19"/>
        <tr r="BC7" s="19"/>
        <tr r="E28" s="19"/>
      </tp>
      <tp t="s">
        <v>#N/A N/A</v>
        <stp/>
        <stp>BDH|9867031592884220915</stp>
        <tr r="AT14" s="16"/>
        <tr r="AT14" s="16"/>
      </tp>
      <tp t="s">
        <v>#N/A N/A</v>
        <stp/>
        <stp>BDH|3927275693403150674</stp>
        <tr r="AX11" s="19"/>
        <tr r="AX11" s="19"/>
      </tp>
      <tp t="s">
        <v>#N/A N/A</v>
        <stp/>
        <stp>BDH|9842616983928054210</stp>
        <tr r="AN15" s="20"/>
        <tr r="AN15" s="20"/>
      </tp>
      <tp t="s">
        <v>#N/A N/A</v>
        <stp/>
        <stp>BDH|7616699901999476526</stp>
        <tr r="AU13" s="20"/>
        <tr r="AU13" s="20"/>
      </tp>
      <tp t="s">
        <v>#N/A N/A</v>
        <stp/>
        <stp>BDH|4874270956196677867</stp>
        <tr r="AH8" s="19"/>
      </tp>
      <tp t="s">
        <v>#N/A N/A</v>
        <stp/>
        <stp>BDP|8864750836553736221</stp>
        <tr r="J25" s="20"/>
      </tp>
      <tp t="s">
        <v>#N/A N/A</v>
        <stp/>
        <stp>BDH|1770582181889648869</stp>
        <tr r="AR15" s="20"/>
        <tr r="AR15" s="20"/>
      </tp>
      <tp t="s">
        <v>#N/A N/A</v>
        <stp/>
        <stp>BDH|5133608310868857779</stp>
        <tr r="AK9" s="16"/>
        <tr r="AK9" s="16"/>
      </tp>
      <tp t="s">
        <v>#N/A N/A</v>
        <stp/>
        <stp>BDH|2233400689006214561</stp>
        <tr r="AU11" s="19"/>
        <tr r="AU11" s="19"/>
      </tp>
      <tp t="s">
        <v>#N/A N/A</v>
        <stp/>
        <stp>BDH|4555251550846814878</stp>
        <tr r="AY11" s="20"/>
        <tr r="AY11" s="20"/>
      </tp>
      <tp t="s">
        <v>#N/A N/A</v>
        <stp/>
        <stp>BDH|6105096750906631818</stp>
        <tr r="AR7" s="19"/>
        <tr r="AR7" s="19"/>
      </tp>
      <tp t="s">
        <v>#N/A N/A</v>
        <stp/>
        <stp>BDH|4813968000700602071</stp>
        <tr r="AY11" s="19"/>
        <tr r="AY11" s="19"/>
      </tp>
      <tp t="s">
        <v>#N/A N/A</v>
        <stp/>
        <stp>BDH|7214213512618870154</stp>
        <tr r="AS8" s="16"/>
        <tr r="AS8" s="16"/>
      </tp>
      <tp t="s">
        <v>#N/A N/A</v>
        <stp/>
        <stp>BDH|2664044835164398886</stp>
        <tr r="AN11" s="16"/>
        <tr r="AN11" s="16"/>
      </tp>
      <tp t="e">
        <v>#N/A</v>
        <stp/>
        <stp>BDH|8019537826352142095</stp>
        <tr r="AQ8" s="20"/>
        <tr r="AQ8" s="20"/>
      </tp>
      <tp t="e">
        <v>#N/A</v>
        <stp/>
        <stp>BDH|6355258885707225636</stp>
        <tr r="AQ12" s="16"/>
        <tr r="AQ12" s="16"/>
      </tp>
      <tp t="s">
        <v>#N/A N/A</v>
        <stp/>
        <stp>BDH|8759909144861507958</stp>
        <tr r="BB6" s="20"/>
        <tr r="BB6" s="20"/>
        <tr r="D22" s="20"/>
      </tp>
      <tp t="s">
        <v>#N/A N/A</v>
        <stp/>
        <stp>BDP|7631985551497673196</stp>
        <tr r="C22" s="16"/>
      </tp>
      <tp t="s">
        <v>#N/A N/A</v>
        <stp/>
        <stp>BDH|5785429705389852594</stp>
        <tr r="AF12" s="20"/>
      </tp>
      <tp t="e">
        <v>#N/A</v>
        <stp/>
        <stp>BDH|8103883549199230041</stp>
        <tr r="AX13" s="19"/>
        <tr r="AX13" s="19"/>
      </tp>
      <tp t="e">
        <v>#N/A</v>
        <stp/>
        <stp>BDH|5541660719246416980</stp>
        <tr r="AH12" s="19"/>
      </tp>
      <tp t="s">
        <v>#N/A N/A</v>
        <stp/>
        <stp>BDH|3373835558796797596</stp>
        <tr r="AT9" s="16"/>
        <tr r="AT9" s="16"/>
      </tp>
      <tp t="e">
        <v>#N/A</v>
        <stp/>
        <stp>BDH|8791227242946495542</stp>
        <tr r="AN17" s="20"/>
        <tr r="AN17" s="20"/>
      </tp>
      <tp t="e">
        <v>#N/A</v>
        <stp/>
        <stp>BDH|8609209920541645443</stp>
        <tr r="AF17" s="20"/>
      </tp>
      <tp t="e">
        <v>#N/A</v>
        <stp/>
        <stp>BDH|6601164210862447916</stp>
        <tr r="AW17" s="16"/>
        <tr r="AW17" s="16"/>
      </tp>
      <tp t="s">
        <v>#N/A N/A</v>
        <stp/>
        <stp>BDH|6955220997281324257</stp>
        <tr r="AF15" s="16"/>
      </tp>
      <tp t="e">
        <v>#N/A</v>
        <stp/>
        <stp>BDH|7149340194776892533</stp>
        <tr r="AL18" s="19"/>
        <tr r="AL18" s="19"/>
      </tp>
      <tp t="e">
        <v>#N/A</v>
        <stp/>
        <stp>BDH|1764550038080842999</stp>
        <tr r="AQ12" s="19"/>
        <tr r="AQ12" s="19"/>
      </tp>
      <tp t="e">
        <v>#N/A</v>
        <stp/>
        <stp>BDH|1860576967705162918</stp>
        <tr r="AT17" s="20"/>
        <tr r="AT17" s="20"/>
      </tp>
      <tp t="s">
        <v>#N/A N/A</v>
        <stp/>
        <stp>BDH|3501793125278694073</stp>
        <tr r="AH11" s="16"/>
      </tp>
      <tp t="s">
        <v>#N/A N/A</v>
        <stp/>
        <stp>BDH|8894186041322084198</stp>
        <tr r="AO11" s="19"/>
        <tr r="AO11" s="19"/>
      </tp>
      <tp t="e">
        <v>#N/A</v>
        <stp/>
        <stp>BDH|5024386544454733821</stp>
        <tr r="AT16" s="20"/>
        <tr r="AT16" s="20"/>
        <tr r="AT14" s="20"/>
        <tr r="AT14" s="20"/>
      </tp>
      <tp t="s">
        <v>#N/A N/A</v>
        <stp/>
        <stp>BDH|2595471086097588787</stp>
        <tr r="AV7" s="16"/>
        <tr r="AV7" s="16"/>
      </tp>
      <tp t="e">
        <v>#N/A</v>
        <stp/>
        <stp>BDH|9976024657094585600</stp>
        <tr r="AG17" s="16"/>
      </tp>
      <tp t="s">
        <v>#N/A N/A</v>
        <stp/>
        <stp>BDH|8099502365972949758</stp>
        <tr r="AX14" s="16"/>
        <tr r="AX14" s="16"/>
      </tp>
      <tp t="s">
        <v>#N/A N/A</v>
        <stp/>
        <stp>BDH|5630760291023904676</stp>
        <tr r="AU10" s="20"/>
        <tr r="AU10" s="20"/>
      </tp>
      <tp t="s">
        <v>#N/A N/A</v>
        <stp/>
        <stp>BDH|7770901606348851853</stp>
        <tr r="AY8" s="20"/>
        <tr r="AY8" s="20"/>
      </tp>
      <tp t="e">
        <v>#N/A</v>
        <stp/>
        <stp>BDH|3215017309214687905</stp>
        <tr r="AV6" s="20"/>
        <tr r="AV6" s="20"/>
      </tp>
      <tp t="e">
        <v>#N/A</v>
        <stp/>
        <stp>BDH|6467106551895832910</stp>
        <tr r="AM13" s="19"/>
        <tr r="AM13" s="19"/>
      </tp>
      <tp t="s">
        <v>#N/A N/A</v>
        <stp/>
        <stp>BDH|5244825040765896259</stp>
        <tr r="AT13" s="20"/>
        <tr r="AT13" s="20"/>
      </tp>
      <tp t="s">
        <v>#N/A N/A</v>
        <stp/>
        <stp>BDH|1662327829876563852</stp>
        <tr r="BB7" s="16"/>
        <tr r="BB7" s="16"/>
        <tr r="D23" s="16"/>
      </tp>
      <tp t="s">
        <v>#N/A N/A</v>
        <stp/>
        <stp>BDH|2885741384317069452</stp>
        <tr r="AW15" s="16"/>
        <tr r="AW15" s="16"/>
      </tp>
      <tp t="s">
        <v>#N/A N/A</v>
        <stp/>
        <stp>BDH|3927382547703506911</stp>
        <tr r="AW14" s="19"/>
        <tr r="AW14" s="19"/>
      </tp>
      <tp t="e">
        <v>#N/A</v>
        <stp/>
        <stp>BDH|9185270814114190019</stp>
        <tr r="AT18" s="19"/>
        <tr r="AT18" s="19"/>
      </tp>
      <tp t="s">
        <v>#N/A N/A</v>
        <stp/>
        <stp>BDP|7665945957194507136</stp>
        <tr r="C30" s="16"/>
      </tp>
      <tp t="s">
        <v>#N/A N/A</v>
        <stp/>
        <stp>BDH|1262971264469707951</stp>
        <tr r="AW9" s="19"/>
        <tr r="AW9" s="19"/>
      </tp>
      <tp t="s">
        <v>#N/A N/A</v>
        <stp/>
        <stp>BDH|7100924444832750630</stp>
        <tr r="AR13" s="16"/>
        <tr r="AR13" s="16"/>
      </tp>
      <tp t="e">
        <v>#N/A</v>
        <stp/>
        <stp>BDH|8736558468944013199</stp>
        <tr r="AQ10" s="19"/>
        <tr r="AQ10" s="19"/>
        <tr r="AQ16" s="19"/>
        <tr r="AQ16" s="19"/>
      </tp>
      <tp t="s">
        <v>#N/A N/A</v>
        <stp/>
        <stp>BDH|5839952277496986330</stp>
        <tr r="AX13" s="16"/>
        <tr r="AX13" s="16"/>
      </tp>
      <tp t="s">
        <v>#N/A N/A</v>
        <stp/>
        <stp>BDH|9531404295019706367</stp>
        <tr r="AG7" s="19"/>
      </tp>
      <tp t="s">
        <v>#N/A N/A</v>
        <stp/>
        <stp>BDH|8849616954911915458</stp>
        <tr r="AQ9" s="19"/>
        <tr r="AQ9" s="19"/>
      </tp>
      <tp t="s">
        <v>#N/A N/A</v>
        <stp/>
        <stp>BDH|7219959052562681720</stp>
        <tr r="AZ9" s="19"/>
        <tr r="AZ9" s="19"/>
      </tp>
      <tp t="s">
        <v>#N/A N/A</v>
        <stp/>
        <stp>BDP|8616955204268740763</stp>
        <tr r="K26" s="16"/>
      </tp>
      <tp t="s">
        <v>#N/A N/A</v>
        <stp/>
        <stp>BDH|4333967127814291564</stp>
        <tr r="AK6" s="19"/>
        <tr r="AK6" s="19"/>
      </tp>
      <tp t="s">
        <v>#N/A N/A</v>
        <stp/>
        <stp>BDH|6022064216098074164</stp>
        <tr r="BB15" s="19"/>
        <tr r="BB15" s="19"/>
      </tp>
      <tp>
        <v>-1.4999999999999999E-2</v>
        <stp/>
        <stp>BDP|611579495546862011|22</stp>
        <stp>SFIZ6H7 comdty</stp>
        <stp>BID</stp>
        <tr r="F22" s="20"/>
      </tp>
      <tp t="s">
        <v>#N/A N/A</v>
        <stp/>
        <stp>BDP|6802272186490820267</stp>
        <tr r="D36" s="19"/>
      </tp>
      <tp t="s">
        <v>#N/A N/A</v>
        <stp/>
        <stp>BDH|9728018405767209067</stp>
        <tr r="AS15" s="19"/>
        <tr r="AS15" s="19"/>
      </tp>
      <tp t="s">
        <v>#N/A N/A</v>
        <stp/>
        <stp>BDH|4909024536148129184</stp>
        <tr r="AZ12" s="19"/>
        <tr r="AZ12" s="19"/>
      </tp>
      <tp t="s">
        <v>#N/A N/A</v>
        <stp/>
        <stp>BDH|9663428200230119313</stp>
        <tr r="AS7" s="16"/>
        <tr r="AS7" s="16"/>
      </tp>
      <tp t="s">
        <v>#N/A N/A</v>
        <stp/>
        <stp>BDP|8271592798892465829</stp>
        <tr r="D29" s="19"/>
      </tp>
      <tp t="s">
        <v>#N/A N/A</v>
        <stp/>
        <stp>BDH|1913965178725072421</stp>
        <tr r="AH13" s="16"/>
      </tp>
      <tp t="s">
        <v>#N/A N/A</v>
        <stp/>
        <stp>BDH|3523859701314415103</stp>
        <tr r="AG14" s="19"/>
      </tp>
      <tp t="s">
        <v>#N/A N/A</v>
        <stp/>
        <stp>BDH|9595951566601217912</stp>
        <tr r="AZ7" s="20"/>
        <tr r="AZ7" s="20"/>
      </tp>
      <tp t="e">
        <v>#N/A</v>
        <stp/>
        <stp>BDH|6396722035629302521</stp>
        <tr r="AH10" s="16"/>
      </tp>
      <tp t="s">
        <v>#N/A N/A</v>
        <stp/>
        <stp>BDH|69711178426312508</stp>
        <tr r="AG13" s="20"/>
      </tp>
      <tp t="s">
        <v>#N/A N/A</v>
        <stp/>
        <stp>BDH|1182516418729748359</stp>
        <tr r="AR12" s="20"/>
        <tr r="AR12" s="20"/>
      </tp>
      <tp t="s">
        <v>#N/A N/A</v>
        <stp/>
        <stp>BDH|3412881616610643575</stp>
        <tr r="AH9" s="16"/>
      </tp>
      <tp t="s">
        <v>#N/A N/A</v>
        <stp/>
        <stp>BDP|4908732708275295982</stp>
        <tr r="C28" s="20"/>
      </tp>
      <tp t="s">
        <v>#N/A N/A</v>
        <stp/>
        <stp>BDH|1942762484073684251</stp>
        <tr r="AP7" s="20"/>
        <tr r="AP7" s="20"/>
      </tp>
      <tp t="s">
        <v>#N/A N/A</v>
        <stp/>
        <stp>BDH|8606430116482328093</stp>
        <tr r="AQ7" s="19"/>
        <tr r="AQ7" s="19"/>
      </tp>
      <tp t="e">
        <v>#N/A</v>
        <stp/>
        <stp>BDH|7962884952637827221</stp>
        <tr r="AI18" s="20"/>
        <tr r="AI18" s="16"/>
      </tp>
      <tp t="s">
        <v>#N/A N/A</v>
        <stp/>
        <stp>BDH|9033483625493496378</stp>
        <tr r="BA11" s="19"/>
        <tr r="BA11" s="19"/>
      </tp>
      <tp t="s">
        <v>#N/A N/A</v>
        <stp/>
        <stp>BDH|4180668599500742476</stp>
        <tr r="BA11" s="20"/>
        <tr r="BA11" s="20"/>
      </tp>
      <tp t="s">
        <v>#N/A N/A</v>
        <stp/>
        <stp>BDH|9974665552795092037</stp>
        <tr r="AU12" s="20"/>
        <tr r="AU12" s="20"/>
      </tp>
      <tp t="s">
        <v>#N/A N/A</v>
        <stp/>
        <stp>BDH|3229710852717675983</stp>
        <tr r="BA10" s="20"/>
        <tr r="BA10" s="20"/>
      </tp>
      <tp t="s">
        <v>#N/A N/A</v>
        <stp/>
        <stp>BDH|3227111699077378366</stp>
        <tr r="AJ7" s="20"/>
        <tr r="AJ7" s="20"/>
      </tp>
      <tp t="e">
        <v>#N/A</v>
        <stp/>
        <stp>BDH|4577032199634226628</stp>
        <tr r="AI6" s="16"/>
        <tr r="AI6" s="16"/>
      </tp>
      <tp t="s">
        <v>#N/A N/A</v>
        <stp/>
        <stp>BDP|8489677678537019177</stp>
        <tr r="J30" s="16"/>
      </tp>
      <tp t="s">
        <v>#N/A N/A</v>
        <stp/>
        <stp>BDH|3192535698216045673</stp>
        <tr r="AX6" s="20"/>
        <tr r="AX6" s="20"/>
      </tp>
      <tp t="s">
        <v>#N/A N/A</v>
        <stp/>
        <stp>BDH|5096367033258129264</stp>
        <tr r="AK7" s="20"/>
        <tr r="AK7" s="20"/>
      </tp>
      <tp t="s">
        <v>#N/A N/A</v>
        <stp/>
        <stp>BDH|7602670049479847300</stp>
        <tr r="BA13" s="19"/>
        <tr r="BA13" s="19"/>
      </tp>
      <tp t="s">
        <v>#N/A N/A</v>
        <stp/>
        <stp>BDH|2611363178030007991</stp>
        <tr r="AH9" s="19"/>
      </tp>
      <tp t="e">
        <v>#N/A</v>
        <stp/>
        <stp>BDH|2856757533019140097</stp>
        <tr r="AP12" s="19"/>
        <tr r="AP12" s="19"/>
      </tp>
      <tp t="s">
        <v>#N/A N/A</v>
        <stp/>
        <stp>BDH|8081767481979862198</stp>
        <tr r="BB17" s="19"/>
        <tr r="BB17" s="19"/>
      </tp>
      <tp t="e">
        <v>#N/A</v>
        <stp/>
        <stp>BDH|1408019237815476812</stp>
        <tr r="AL6" s="16"/>
        <tr r="AL6" s="16"/>
      </tp>
      <tp t="s">
        <v>#N/A N/A</v>
        <stp/>
        <stp>BDP|1131470362335104916</stp>
        <tr r="D35" s="19"/>
      </tp>
      <tp t="s">
        <v>#N/A N/A</v>
        <stp/>
        <stp>BDH|9028379007674260166</stp>
        <tr r="BA6" s="16"/>
        <tr r="BA6" s="16"/>
      </tp>
      <tp t="s">
        <v>#N/A N/A</v>
        <stp/>
        <stp>BDH|5539431879339253084</stp>
        <tr r="AY15" s="16"/>
        <tr r="AY15" s="16"/>
      </tp>
      <tp t="e">
        <v>#N/A</v>
        <stp/>
        <stp>BDH|9455083112547557712</stp>
        <tr r="AN6" s="16"/>
        <tr r="AN6" s="16"/>
      </tp>
      <tp t="s">
        <v>#N/A N/A</v>
        <stp/>
        <stp>BDH|4700160201299360482</stp>
        <tr r="AV15" s="20"/>
        <tr r="AV15" s="20"/>
      </tp>
      <tp t="s">
        <v>#N/A N/A</v>
        <stp/>
        <stp>BDP|6387636800270167891</stp>
        <tr r="K32" s="16"/>
      </tp>
      <tp t="e">
        <v>#N/A</v>
        <stp/>
        <stp>BDH|5944268970908293056</stp>
        <tr r="AV14" s="20"/>
        <tr r="AV14" s="20"/>
        <tr r="AV16" s="20"/>
        <tr r="AV16" s="20"/>
      </tp>
      <tp t="e">
        <v>#N/A</v>
        <stp/>
        <stp>BDH|4821313273789533162</stp>
        <tr r="AQ11" s="20"/>
        <tr r="AQ11" s="20"/>
      </tp>
      <tp t="s">
        <v>#N/A N/A</v>
        <stp/>
        <stp>BDH|3730342345919978564</stp>
        <tr r="AO7" s="16"/>
        <tr r="AO7" s="16"/>
      </tp>
      <tp t="e">
        <v>#N/A</v>
        <stp/>
        <stp>BDH|7357841278816589641</stp>
        <tr r="AO16" s="20"/>
        <tr r="AO16" s="20"/>
        <tr r="AO14" s="20"/>
        <tr r="AO14" s="20"/>
      </tp>
      <tp t="s">
        <v>#N/A N/A</v>
        <stp/>
        <stp>BDH|3676901619172255139</stp>
        <tr r="AU9" s="19"/>
        <tr r="AU9" s="19"/>
      </tp>
      <tp t="e">
        <v>#N/A</v>
        <stp/>
        <stp>BDH|6367172051183908929</stp>
        <tr r="AL17" s="20"/>
        <tr r="AL17" s="20"/>
      </tp>
      <tp t="s">
        <v>#N/A N/A</v>
        <stp/>
        <stp>BDP|1763319498004149736</stp>
        <tr r="J22" s="16"/>
      </tp>
      <tp t="e">
        <v>#N/A</v>
        <stp/>
        <stp>BDH|4851729073095309974</stp>
        <tr r="AV11" s="20"/>
        <tr r="AV11" s="20"/>
      </tp>
      <tp t="e">
        <v>#N/A</v>
        <stp/>
        <stp>BDH|1226924111562211310</stp>
        <tr r="AU18" s="16"/>
        <tr r="AU18" s="20"/>
      </tp>
      <tp t="e">
        <v>#N/A</v>
        <stp/>
        <stp>BDH|3795105565138712473</stp>
        <tr r="AS18" s="19"/>
        <tr r="AS18" s="19"/>
      </tp>
      <tp t="s">
        <v>#N/A N/A</v>
        <stp/>
        <stp>BDP|5779355181531129714</stp>
        <tr r="K24" s="16"/>
      </tp>
      <tp t="e">
        <v>#N/A</v>
        <stp/>
        <stp>BDH|3618556690191883686</stp>
        <tr r="AU8" s="20"/>
        <tr r="AU8" s="20"/>
      </tp>
      <tp t="e">
        <v>#N/A</v>
        <stp/>
        <stp>BDH|5775163837546764929</stp>
        <tr r="AG10" s="19"/>
        <tr r="AG16" s="19"/>
      </tp>
      <tp t="s">
        <v>#N/A N/A</v>
        <stp/>
        <stp>BDH|4633204788072892463</stp>
        <tr r="BA15" s="20"/>
        <tr r="BA15" s="20"/>
      </tp>
      <tp t="s">
        <v>#N/A N/A</v>
        <stp/>
        <stp>BDH|1175795372220221993</stp>
        <tr r="AZ13" s="20"/>
        <tr r="AZ13" s="20"/>
      </tp>
      <tp t="s">
        <v>#N/A N/A</v>
        <stp/>
        <stp>BDH|9002905690894671579</stp>
        <tr r="AQ16" s="16"/>
        <tr r="AQ16" s="16"/>
      </tp>
      <tp t="s">
        <v>#N/A Requesting Data...2877329101</v>
        <stp/>
        <stp>BDP|7041471756157566920</stp>
        <tr r="L33" s="19"/>
      </tp>
      <tp t="e">
        <v>#N/A</v>
        <stp/>
        <stp>BDH|1611570086026559245</stp>
        <tr r="AH10" s="19"/>
        <tr r="AH16" s="19"/>
      </tp>
      <tp t="s">
        <v>#N/A N/A</v>
        <stp/>
        <stp>BDH|5429490999450575076</stp>
        <tr r="BA18" s="19"/>
        <tr r="BA18" s="19"/>
      </tp>
      <tp t="s">
        <v>#N/A N/A</v>
        <stp/>
        <stp>BDP|4579891219272567771</stp>
        <tr r="K27" s="16"/>
      </tp>
      <tp t="e">
        <v>#N/A</v>
        <stp/>
        <stp>BDH|8870891799866861777</stp>
        <tr r="AL13" s="19"/>
        <tr r="AL13" s="19"/>
      </tp>
      <tp t="s">
        <v>#N/A N/A</v>
        <stp/>
        <stp>BDH|3214201721099104261</stp>
        <tr r="AO13" s="16"/>
        <tr r="AO13" s="16"/>
      </tp>
      <tp t="s">
        <v>#N/A N/A</v>
        <stp/>
        <stp>BDH|4093026540970135875</stp>
        <tr r="AR9" s="20"/>
        <tr r="AR9" s="20"/>
      </tp>
      <tp t="e">
        <v>#N/A</v>
        <stp/>
        <stp>BDH|6693854271877788619</stp>
        <tr r="AG6" s="20"/>
      </tp>
      <tp t="e">
        <v>#N/A</v>
        <stp/>
        <stp>BDH|7561179042833269973</stp>
        <tr r="AV17" s="20"/>
        <tr r="AV17" s="20"/>
      </tp>
      <tp t="s">
        <v>#N/A N/A</v>
        <stp/>
        <stp>BDP|8317421032156899019</stp>
        <tr r="J25" s="16"/>
      </tp>
      <tp t="e">
        <v>#N/A</v>
        <stp/>
        <stp>BDH|9828022615955589407</stp>
        <tr r="AT18" s="16"/>
        <tr r="AT18" s="20"/>
      </tp>
      <tp t="s">
        <v>#N/A N/A</v>
        <stp/>
        <stp>BDH|3377844671392451783</stp>
        <tr r="BA13" s="16"/>
        <tr r="BA13" s="16"/>
      </tp>
      <tp t="s">
        <v>#N/A N/A</v>
        <stp/>
        <stp>BDH|6687004718938125643</stp>
        <tr r="AQ14" s="16"/>
        <tr r="AQ14" s="16"/>
      </tp>
      <tp t="s">
        <v>#N/A N/A</v>
        <stp/>
        <stp>BDH|4994670614629121330</stp>
        <tr r="AQ15" s="20"/>
        <tr r="AQ15" s="20"/>
      </tp>
      <tp t="s">
        <v>#N/A N/A</v>
        <stp/>
        <stp>BDH|7350525378629246556</stp>
        <tr r="AQ9" s="20"/>
        <tr r="AQ9" s="20"/>
      </tp>
      <tp t="s">
        <v>#N/A N/A</v>
        <stp/>
        <stp>BDH|8052814271826708891</stp>
        <tr r="AK9" s="19"/>
        <tr r="AK9" s="19"/>
      </tp>
      <tp t="e">
        <v>#N/A</v>
        <stp/>
        <stp>BDH|6725586521909508156</stp>
        <tr r="AQ6" s="20"/>
        <tr r="AQ6" s="20"/>
      </tp>
      <tp t="s">
        <v>#N/A N/A</v>
        <stp/>
        <stp>BDH|7422166010266980873</stp>
        <tr r="AR11" s="19"/>
        <tr r="AR11" s="19"/>
      </tp>
      <tp t="s">
        <v>#N/A N/A</v>
        <stp/>
        <stp>BDH|9304342340057916036</stp>
        <tr r="AY6" s="19"/>
        <tr r="AY6" s="19"/>
      </tp>
      <tp t="s">
        <v>#N/A N/A</v>
        <stp/>
        <stp>BDH|6949819147660589386</stp>
        <tr r="AF8" s="16"/>
      </tp>
      <tp t="s">
        <v>#N/A N/A</v>
        <stp/>
        <stp>BDH|9465146141936631348</stp>
        <tr r="AV13" s="16"/>
        <tr r="AV13" s="16"/>
      </tp>
      <tp t="s">
        <v>#N/A N/A</v>
        <stp/>
        <stp>BDH|7207900753782333011</stp>
        <tr r="AY7" s="19"/>
        <tr r="AY7" s="19"/>
      </tp>
      <tp t="s">
        <v>#N/A N/A</v>
        <stp/>
        <stp>BDH|4689773101418522265</stp>
        <tr r="AX15" s="19"/>
        <tr r="AX15" s="19"/>
      </tp>
      <tp t="s">
        <v>#N/A N/A</v>
        <stp/>
        <stp>BDH|5754670991687531443</stp>
        <tr r="AQ15" s="19"/>
        <tr r="AQ15" s="19"/>
      </tp>
      <tp t="s">
        <v>#N/A N/A</v>
        <stp/>
        <stp>BDH|4255326809678006690</stp>
        <tr r="AO7" s="19"/>
        <tr r="AO7" s="19"/>
      </tp>
      <tp t="e">
        <v>#N/A</v>
        <stp/>
        <stp>BDH|7296601590277299607</stp>
        <tr r="AQ6" s="16"/>
        <tr r="AQ6" s="16"/>
      </tp>
      <tp t="e">
        <v>#N/A</v>
        <stp/>
        <stp>BDH|9080809553779323403</stp>
        <tr r="AJ8" s="20"/>
        <tr r="AJ8" s="20"/>
      </tp>
      <tp t="s">
        <v>#N/A N/A</v>
        <stp/>
        <stp>BDH|4170538486738492807</stp>
        <tr r="AZ6" s="16"/>
        <tr r="AZ6" s="16"/>
      </tp>
      <tp t="s">
        <v>#N/A N/A</v>
        <stp/>
        <stp>BDH|7434011628278923456</stp>
        <tr r="AN14" s="16"/>
        <tr r="AN14" s="16"/>
      </tp>
      <tp t="e">
        <v>#N/A</v>
        <stp/>
        <stp>BDH|3986902529243326243</stp>
        <tr r="AP6" s="16"/>
        <tr r="AP6" s="16"/>
      </tp>
      <tp t="s">
        <v>#N/A N/A</v>
        <stp/>
        <stp>BDH|9419058276815523259</stp>
        <tr r="BA9" s="20"/>
        <tr r="BA9" s="20"/>
      </tp>
      <tp t="s">
        <v>#N/A N/A</v>
        <stp/>
        <stp>BDP|9659352947720699775</stp>
        <tr r="K32" s="19"/>
      </tp>
      <tp t="e">
        <v>#N/A</v>
        <stp/>
        <stp>BDH|6819846484379203502</stp>
        <tr r="AR18" s="19"/>
        <tr r="AR18" s="19"/>
      </tp>
      <tp t="s">
        <v>#N/A N/A</v>
        <stp/>
        <stp>BDP|2327961708213086261</stp>
        <tr r="K36" s="19"/>
      </tp>
      <tp t="e">
        <v>#N/A</v>
        <stp/>
        <stp>BDH|5420572553836325986</stp>
        <tr r="AS6" s="20"/>
        <tr r="AS6" s="20"/>
      </tp>
      <tp t="e">
        <v>#N/A</v>
        <stp/>
        <stp>BDH|3966667624054631957</stp>
        <tr r="AG17" s="19"/>
      </tp>
      <tp t="e">
        <v>#N/A</v>
        <stp/>
        <stp>BDH|9488959529001514958</stp>
        <tr r="AJ11" s="20"/>
        <tr r="AJ11" s="20"/>
      </tp>
      <tp t="e">
        <v>#N/A</v>
        <stp/>
        <stp>BDH|6614927874964909605</stp>
        <tr r="AW11" s="20"/>
        <tr r="AW11" s="20"/>
      </tp>
      <tp t="e">
        <v>#N/A</v>
        <stp/>
        <stp>BDH|4891155604268612763</stp>
        <tr r="AR16" s="19"/>
        <tr r="AR16" s="19"/>
        <tr r="AR10" s="19"/>
        <tr r="AR10" s="19"/>
      </tp>
      <tp t="s">
        <v>#N/A N/A</v>
        <stp/>
        <stp>BDH|3210835458805858187</stp>
        <tr r="BC18" s="19"/>
        <tr r="BC18" s="19"/>
        <tr r="E39" s="19"/>
      </tp>
      <tp t="s">
        <v>#N/A N/A</v>
        <stp/>
        <stp>BDP|3575862156896331295</stp>
        <tr r="H41" s="19"/>
        <tr r="H40" s="19"/>
      </tp>
      <tp t="s">
        <v>#N/A N/A</v>
        <stp/>
        <stp>BDH|1076098585864424772</stp>
        <tr r="AZ18" s="19"/>
        <tr r="AZ18" s="19"/>
      </tp>
      <tp t="s">
        <v>#N/A N/A</v>
        <stp/>
        <stp>BDH|3181445462629022281</stp>
        <tr r="AZ14" s="19"/>
        <tr r="AZ14" s="19"/>
      </tp>
      <tp t="s">
        <v>#N/A N/A</v>
        <stp/>
        <stp>BDP|9558618879010087201</stp>
        <tr r="C28" s="16"/>
      </tp>
      <tp t="e">
        <v>#N/A</v>
        <stp/>
        <stp>BDH|5467914036267329220</stp>
        <tr r="AI17" s="19"/>
      </tp>
      <tp t="s">
        <v>#N/A N/A</v>
        <stp/>
        <stp>BDH|2861942466682073580</stp>
        <tr r="AL13" s="16"/>
        <tr r="AL13" s="16"/>
      </tp>
      <tp t="s">
        <v>#N/A N/A</v>
        <stp/>
        <stp>BDH|8318576652152198046</stp>
        <tr r="AL9" s="19"/>
        <tr r="AL9" s="19"/>
      </tp>
      <tp t="e">
        <v>#N/A</v>
        <stp/>
        <stp>BDH|5188304283740564440</stp>
        <tr r="AI17" s="16"/>
        <tr r="AI17" s="16"/>
      </tp>
      <tp t="s">
        <v>#N/A N/A</v>
        <stp/>
        <stp>BDH|9076757633761024665</stp>
        <tr r="AN14" s="19"/>
        <tr r="AN14" s="19"/>
      </tp>
      <tp t="s">
        <v>#N/A N/A</v>
        <stp/>
        <stp>BDH|4101957091296799827</stp>
        <tr r="AU8" s="19"/>
        <tr r="AU8" s="19"/>
      </tp>
      <tp t="s">
        <v>#N/A N/A</v>
        <stp/>
        <stp>BDP|7246736199506836518</stp>
        <tr r="K27" s="19"/>
      </tp>
      <tp t="s">
        <v>#N/A N/A</v>
        <stp/>
        <stp>BDH|4828583641936693965</stp>
        <tr r="AZ9" s="20"/>
        <tr r="AZ9" s="20"/>
      </tp>
      <tp t="s">
        <v>#N/A N/A</v>
        <stp/>
        <stp>BDH|9524380528970283268</stp>
        <tr r="BC15" s="19"/>
        <tr r="BC15" s="19"/>
        <tr r="E36" s="19"/>
      </tp>
      <tp t="s">
        <v>#N/A N/A</v>
        <stp/>
        <stp>BDH|1513859512645426770</stp>
        <tr r="BB9" s="20"/>
        <tr r="BB9" s="20"/>
        <tr r="D25" s="20"/>
      </tp>
      <tp t="s">
        <v>#N/A Requesting Data...3141186639</v>
        <stp/>
        <stp>BDP|3774408785517569213</stp>
        <tr r="K31" s="19"/>
        <tr r="K37" s="19"/>
      </tp>
      <tp t="s">
        <v>#N/A N/A</v>
        <stp/>
        <stp>BDH|7146523011298152141</stp>
        <tr r="AP11" s="19"/>
        <tr r="AP11" s="19"/>
      </tp>
      <tp t="e">
        <v>#N/A</v>
        <stp/>
        <stp>BDH|8592603867327150547</stp>
        <tr r="AW10" s="19"/>
        <tr r="AW10" s="19"/>
        <tr r="AW16" s="19"/>
        <tr r="AW16" s="19"/>
      </tp>
      <tp t="s">
        <v>#N/A N/A</v>
        <stp/>
        <stp>BDP|9899317847607722232</stp>
        <tr r="L32" s="19"/>
      </tp>
      <tp t="s">
        <v>#N/A N/A</v>
        <stp/>
        <stp>BDH|2445520660742904855</stp>
        <tr r="BC12" s="19"/>
        <tr r="BC12" s="19"/>
        <tr r="E33" s="19"/>
      </tp>
      <tp t="s">
        <v>#N/A N/A</v>
        <stp/>
        <stp>BDH|6185454429693015870</stp>
        <tr r="AO14" s="16"/>
        <tr r="AO14" s="16"/>
      </tp>
      <tp t="s">
        <v>#N/A N/A</v>
        <stp/>
        <stp>BDH|3545095274468703741</stp>
        <tr r="AY13" s="16"/>
        <tr r="AY13" s="16"/>
      </tp>
      <tp t="s">
        <v>#N/A N/A</v>
        <stp/>
        <stp>BDH|6560933343945984572</stp>
        <tr r="AT12" s="20"/>
        <tr r="AT12" s="20"/>
      </tp>
      <tp t="s">
        <v>#N/A N/A</v>
        <stp/>
        <stp>BDH|5968851943441690323</stp>
        <tr r="AH14" s="19"/>
      </tp>
      <tp t="e">
        <v>#N/A</v>
        <stp/>
        <stp>BDH|1477542597686630099</stp>
        <tr r="AG11" s="20"/>
      </tp>
      <tp t="s">
        <v>#N/A N/A</v>
        <stp/>
        <stp>BDH|6975344611909567678</stp>
        <tr r="AT14" s="19"/>
        <tr r="AT14" s="19"/>
      </tp>
      <tp t="s">
        <v>#N/A N/A</v>
        <stp/>
        <stp>BDH|6262984154956853786</stp>
        <tr r="BB18" s="19"/>
        <tr r="BB18" s="19"/>
      </tp>
      <tp t="e">
        <v>#N/A</v>
        <stp/>
        <stp>BDH|8808018755857398114</stp>
        <tr r="AU16" s="20"/>
        <tr r="AU16" s="20"/>
        <tr r="AU14" s="20"/>
        <tr r="AU14" s="20"/>
      </tp>
      <tp t="s">
        <v>#N/A N/A</v>
        <stp/>
        <stp>BDH|2822973197539197072</stp>
        <tr r="AZ13" s="16"/>
        <tr r="AZ13" s="16"/>
      </tp>
      <tp t="e">
        <v>#N/A</v>
        <stp/>
        <stp>BDH|1780753867822944937</stp>
        <tr r="AJ16" s="19"/>
        <tr r="AJ16" s="19"/>
        <tr r="AJ10" s="19"/>
        <tr r="AJ10" s="19"/>
      </tp>
      <tp t="s">
        <v>#N/A N/A</v>
        <stp/>
        <stp>BDH|4935956127490409404</stp>
        <tr r="AF7" s="20"/>
      </tp>
      <tp t="s">
        <v>#N/A N/A</v>
        <stp/>
        <stp>BDH|2507613419407003916</stp>
        <tr r="AX9" s="20"/>
        <tr r="AX9" s="20"/>
      </tp>
      <tp t="s">
        <v>#N/A N/A</v>
        <stp/>
        <stp>BDH|1298746837117838948</stp>
        <tr r="AR10" s="20"/>
        <tr r="AR10" s="20"/>
      </tp>
      <tp t="e">
        <v>#N/A</v>
        <stp/>
        <stp>BDH|8152629616543122791</stp>
        <tr r="AI11" s="20"/>
        <tr r="AI11" s="20"/>
      </tp>
      <tp t="s">
        <v>#N/A N/A</v>
        <stp/>
        <stp>BDH|9745446875147488619</stp>
        <tr r="AI14" s="16"/>
        <tr r="AI14" s="16"/>
      </tp>
      <tp t="s">
        <v>#N/A N/A</v>
        <stp/>
        <stp>BDH|4613858213503588560</stp>
        <tr r="AX6" s="19"/>
        <tr r="AX6" s="19"/>
      </tp>
      <tp t="s">
        <v>#N/A N/A</v>
        <stp/>
        <stp>BDH|8606961009968914202</stp>
        <tr r="AZ11" s="16"/>
        <tr r="AZ11" s="16"/>
      </tp>
      <tp t="e">
        <v>#N/A</v>
        <stp/>
        <stp>BDH|4420908134017262226</stp>
        <tr r="AO12" s="16"/>
        <tr r="AO12" s="16"/>
      </tp>
      <tp t="s">
        <v>#N/A N/A</v>
        <stp/>
        <stp>BDH|7867925764226898566</stp>
        <tr r="AT7" s="20"/>
        <tr r="AT7" s="20"/>
      </tp>
      <tp t="s">
        <v>#N/A N/A</v>
        <stp/>
        <stp>BDP|9364968697635762743</stp>
        <tr r="C32" s="16"/>
      </tp>
      <tp t="s">
        <v>#N/A N/A</v>
        <stp/>
        <stp>BDH|9030734249473867237</stp>
        <tr r="AO7" s="20"/>
        <tr r="AO7" s="20"/>
      </tp>
      <tp t="e">
        <v>#N/A</v>
        <stp/>
        <stp>BDH|3623624707136328817</stp>
        <tr r="AF12" s="16"/>
      </tp>
      <tp t="e">
        <v>#N/A</v>
        <stp/>
        <stp>BDH|9481543644240234375</stp>
        <tr r="AL12" s="16"/>
        <tr r="AL12" s="16"/>
      </tp>
      <tp t="s">
        <v>#N/A N/A</v>
        <stp/>
        <stp>BDH|3921806466635688385</stp>
        <tr r="AT11" s="19"/>
        <tr r="AT11" s="19"/>
      </tp>
      <tp t="s">
        <v>#N/A N/A</v>
        <stp/>
        <stp>BDP|9618717820727726078</stp>
        <tr r="L30" s="19"/>
      </tp>
      <tp t="s">
        <v>#N/A N/A</v>
        <stp/>
        <stp>BDH|2972752188382369433</stp>
        <tr r="BA13" s="20"/>
        <tr r="BA13" s="20"/>
      </tp>
      <tp t="s">
        <v>#N/A N/A</v>
        <stp/>
        <stp>BDH|5860396627681467184</stp>
        <tr r="AY11" s="16"/>
        <tr r="AY11" s="16"/>
      </tp>
      <tp t="e">
        <v>#N/A</v>
        <stp/>
        <stp>BDH|4052632647371969379</stp>
        <tr r="AV8" s="20"/>
        <tr r="AV8" s="20"/>
      </tp>
      <tp t="s">
        <v>#N/A N/A</v>
        <stp/>
        <stp>BDH|9526349869829318108</stp>
        <tr r="AH16" s="16"/>
      </tp>
      <tp t="s">
        <v>#N/A N/A</v>
        <stp/>
        <stp>BDH|6911685142531290190</stp>
        <tr r="AT15" s="19"/>
        <tr r="AT15" s="19"/>
      </tp>
      <tp t="e">
        <v>#N/A</v>
        <stp/>
        <stp>BDH|3729123026267361396</stp>
        <tr r="AJ18" s="16"/>
        <tr r="AJ18" s="20"/>
      </tp>
      <tp t="e">
        <v>#N/A</v>
        <stp/>
        <stp>BDH|4059565094534432881</stp>
        <tr r="AM17" s="16"/>
        <tr r="AM17" s="16"/>
      </tp>
      <tp t="e">
        <v>#N/A</v>
        <stp/>
        <stp>BDH|1309210879803425309</stp>
        <tr r="AO17" s="19"/>
        <tr r="AO17" s="19"/>
      </tp>
      <tp t="e">
        <v>#N/A</v>
        <stp/>
        <stp>BDH|4080189774144788244</stp>
        <tr r="AX17" s="19"/>
        <tr r="AX17" s="19"/>
      </tp>
      <tp t="s">
        <v>#N/A N/A</v>
        <stp/>
        <stp>BDH|8864840409533920703</stp>
        <tr r="AO15" s="20"/>
        <tr r="AO15" s="20"/>
      </tp>
      <tp t="e">
        <v>#N/A</v>
        <stp/>
        <stp>BDH|7566587434363070652</stp>
        <tr r="AG12" s="19"/>
      </tp>
      <tp t="s">
        <v>#N/A N/A</v>
        <stp/>
        <stp>BDH|5324097280911607801</stp>
        <tr r="AR16" s="16"/>
        <tr r="AR16" s="16"/>
      </tp>
      <tp t="s">
        <v>#N/A N/A</v>
        <stp/>
        <stp>BDP|2083540155793351507</stp>
        <tr r="L28" s="19"/>
      </tp>
      <tp t="s">
        <v>#N/A N/A</v>
        <stp/>
        <stp>BDH|1406221978014913459</stp>
        <tr r="AQ13" s="20"/>
        <tr r="AQ13" s="20"/>
      </tp>
      <tp t="s">
        <v>#N/A N/A</v>
        <stp/>
        <stp>BDH|4205451613823422625</stp>
        <tr r="AK8" s="16"/>
        <tr r="AK8" s="16"/>
      </tp>
      <tp t="s">
        <v>#N/A N/A</v>
        <stp/>
        <stp>BDH|3705348685704101846</stp>
        <tr r="AI8" s="16"/>
        <tr r="AI8" s="16"/>
      </tp>
      <tp t="s">
        <v>#N/A N/A</v>
        <stp/>
        <stp>BDP|7995179229668268858</stp>
        <tr r="C25" s="16"/>
      </tp>
      <tp t="s">
        <v>#N/A N/A</v>
        <stp/>
        <stp>BDH|9892249630759940554</stp>
        <tr r="AM6" s="19"/>
        <tr r="AM6" s="19"/>
      </tp>
      <tp t="e">
        <v>#N/A</v>
        <stp/>
        <stp>BDH|4276296416950847357</stp>
        <tr r="AO10" s="19"/>
        <tr r="AO10" s="19"/>
        <tr r="AO16" s="19"/>
        <tr r="AO16" s="19"/>
      </tp>
      <tp t="s">
        <v>#N/A N/A</v>
        <stp/>
        <stp>BDH|6089764236717000107</stp>
        <tr r="AY13" s="20"/>
        <tr r="AY13" s="20"/>
      </tp>
      <tp t="s">
        <v>#N/A N/A</v>
        <stp/>
        <stp>BDH|6022700420351548642</stp>
        <tr r="AO8" s="16"/>
        <tr r="AO8" s="16"/>
      </tp>
      <tp t="s">
        <v>#N/A N/A</v>
        <stp/>
        <stp>BDH|5542446657983303342</stp>
        <tr r="BB6" s="16"/>
        <tr r="BB6" s="16"/>
        <tr r="D22" s="16"/>
      </tp>
      <tp t="s">
        <v>#N/A N/A</v>
        <stp/>
        <stp>BDP|4010869342944656848</stp>
        <tr r="J28" s="16"/>
      </tp>
      <tp t="s">
        <v>#N/A N/A</v>
        <stp/>
        <stp>BDP|8055174592080670455</stp>
        <tr r="F40" s="19"/>
        <tr r="F41" s="19"/>
      </tp>
      <tp t="s">
        <v>#N/A N/A</v>
        <stp/>
        <stp>BDH|9755359197036155123</stp>
        <tr r="AN9" s="16"/>
        <tr r="AN9" s="16"/>
      </tp>
      <tp t="e">
        <v>#N/A</v>
        <stp/>
        <stp>BDH|1647677064954459173</stp>
        <tr r="AK17" s="20"/>
        <tr r="AK17" s="20"/>
      </tp>
      <tp t="s">
        <v>#N/A N/A</v>
        <stp/>
        <stp>BDP|4170470775401301274</stp>
        <tr r="C29" s="20"/>
      </tp>
      <tp t="s">
        <v>#N/A N/A</v>
        <stp/>
        <stp>BDH|7750009131710115009</stp>
        <tr r="BA15" s="16"/>
        <tr r="BA15" s="16"/>
      </tp>
      <tp t="s">
        <v>#N/A N/A</v>
        <stp/>
        <stp>BDH|8996328473361731982</stp>
        <tr r="AS8" s="19"/>
        <tr r="AS8" s="19"/>
      </tp>
      <tp t="s">
        <v>#N/A N/A</v>
        <stp/>
        <stp>BDP|5800731774145862435</stp>
        <tr r="L41" s="19"/>
      </tp>
      <tp t="e">
        <v>#N/A</v>
        <stp/>
        <stp>BDH|7746266727977098421</stp>
        <tr r="AQ13" s="19"/>
        <tr r="AQ13" s="19"/>
      </tp>
      <tp t="e">
        <v>#N/A</v>
        <stp/>
        <stp>BDH|6887238878131294651</stp>
        <tr r="AM10" s="19"/>
        <tr r="AM10" s="19"/>
        <tr r="AM16" s="19"/>
        <tr r="AM16" s="19"/>
      </tp>
      <tp t="s">
        <v>#N/A N/A</v>
        <stp/>
        <stp>BDH|5793607821823297602</stp>
        <tr r="AY17" s="20"/>
        <tr r="AY17" s="20"/>
      </tp>
      <tp t="s">
        <v>#N/A N/A</v>
        <stp/>
        <stp>BDP|7862013058485040348</stp>
        <tr r="L29" s="19"/>
      </tp>
      <tp t="s">
        <v>#N/A N/A</v>
        <stp/>
        <stp>BDP|5837488422141128666</stp>
        <tr r="K22" s="16"/>
      </tp>
      <tp t="s">
        <v>#N/A N/A</v>
        <stp/>
        <stp>BDH|1088371773095683473</stp>
        <tr r="AQ12" s="20"/>
        <tr r="AQ12" s="20"/>
      </tp>
      <tp t="s">
        <v>#N/A N/A</v>
        <stp/>
        <stp>BDH|6744205773873202435</stp>
        <tr r="BB14" s="20"/>
        <tr r="BB14" s="20"/>
        <tr r="BB16" s="20"/>
        <tr r="BB16" s="20"/>
        <tr r="D32" s="20"/>
        <tr r="D30" s="20"/>
      </tp>
      <tp t="e">
        <v>#N/A</v>
        <stp/>
        <stp>BDH|29602245179856245</stp>
        <tr r="AT6" s="16"/>
        <tr r="AT6" s="16"/>
      </tp>
      <tp t="s">
        <v>#N/A N/A</v>
        <stp/>
        <stp>BDH|4424579220765977303</stp>
        <tr r="AJ8" s="19"/>
        <tr r="AJ8" s="19"/>
      </tp>
      <tp t="e">
        <v>#N/A</v>
        <stp/>
        <stp>BDH|6521835252458655694</stp>
        <tr r="AW12" s="19"/>
        <tr r="AW12" s="19"/>
      </tp>
      <tp t="s">
        <v>#N/A N/A</v>
        <stp/>
        <stp>BDH|6112147407385800724</stp>
        <tr r="AT10" s="20"/>
        <tr r="AT10" s="20"/>
      </tp>
      <tp t="s">
        <v>#N/A N/A</v>
        <stp/>
        <stp>BDH|5648241751414330382</stp>
        <tr r="AN13" s="16"/>
        <tr r="AN13" s="16"/>
      </tp>
      <tp t="s">
        <v>#N/A N/A</v>
        <stp/>
        <stp>BDH|4960151337767773454</stp>
        <tr r="BB6" s="19"/>
        <tr r="BB6" s="19"/>
      </tp>
      <tp t="s">
        <v>#N/A N/A</v>
        <stp/>
        <stp>BDH|9277815108525079123</stp>
        <tr r="AK15" s="20"/>
        <tr r="AK15" s="20"/>
      </tp>
      <tp t="s">
        <v>#N/A N/A</v>
        <stp/>
        <stp>BDH|3196112608250765769</stp>
        <tr r="AZ6" s="19"/>
        <tr r="AZ6" s="19"/>
      </tp>
      <tp t="e">
        <v>#N/A</v>
        <stp/>
        <stp>BDH|2629467704405330694</stp>
        <tr r="AG13" s="19"/>
      </tp>
      <tp t="s">
        <v>#N/A N/A</v>
        <stp/>
        <stp>BDH|2922611974523247529</stp>
        <tr r="AL14" s="16"/>
        <tr r="AL14" s="16"/>
      </tp>
      <tp t="e">
        <v>#N/A</v>
        <stp/>
        <stp>BDH|3433302164143494085</stp>
        <tr r="AT11" s="20"/>
        <tr r="AT11" s="20"/>
      </tp>
      <tp t="s">
        <v>#N/A N/A</v>
        <stp/>
        <stp>BDH|8468905064353446145</stp>
        <tr r="AV11" s="16"/>
        <tr r="AV11" s="16"/>
      </tp>
      <tp t="s">
        <v>#N/A N/A</v>
        <stp/>
        <stp>BDH|1248460526601632343</stp>
        <tr r="AH15" s="16"/>
      </tp>
      <tp t="e">
        <v>#N/A</v>
        <stp/>
        <stp>BDH|9071990148819008811</stp>
        <tr r="AN6" s="20"/>
        <tr r="AN6" s="20"/>
      </tp>
      <tp t="s">
        <v>#N/A N/A</v>
        <stp/>
        <stp>BDH|6618072978792110696</stp>
        <tr r="AN6" s="19"/>
        <tr r="AN6" s="19"/>
      </tp>
      <tp t="s">
        <v>#N/A N/A</v>
        <stp/>
        <stp>BDH|6689310140226115272</stp>
        <tr r="AO9" s="19"/>
        <tr r="AO9" s="19"/>
      </tp>
      <tp t="e">
        <v>#N/A</v>
        <stp/>
        <stp>BDH|1141366415896454071</stp>
        <tr r="AR11" s="20"/>
        <tr r="AR11" s="20"/>
      </tp>
      <tp t="e">
        <v>#N/A</v>
        <stp/>
        <stp>BDH|1937953218294749851</stp>
        <tr r="AW17" s="20"/>
        <tr r="AW17" s="20"/>
      </tp>
      <tp t="s">
        <v>#N/A N/A</v>
        <stp/>
        <stp>BDH|8140919965894102602</stp>
        <tr r="AU15" s="19"/>
        <tr r="AU15" s="19"/>
      </tp>
      <tp t="s">
        <v>#N/A N/A</v>
        <stp/>
        <stp>BDH|5310275886298482220</stp>
        <tr r="AG14" s="16"/>
      </tp>
      <tp t="s">
        <v>#N/A N/A</v>
        <stp/>
        <stp>BDP|1301568824444741730</stp>
        <tr r="K38" s="19"/>
      </tp>
      <tp t="s">
        <v>#N/A N/A</v>
        <stp/>
        <stp>BDH|7645905110162389807</stp>
        <tr r="AZ12" s="16"/>
        <tr r="AZ12" s="16"/>
      </tp>
      <tp t="s">
        <v>#N/A Requesting Data...2524046118</v>
        <stp/>
        <stp>BDP|8784755318439586157</stp>
        <tr r="D34" s="19"/>
      </tp>
      <tp t="e">
        <v>#N/A</v>
        <stp/>
        <stp>BDH|7035799850615477670</stp>
        <tr r="AL10" s="16"/>
        <tr r="AL10" s="16"/>
      </tp>
      <tp t="s">
        <v>#N/A N/A</v>
        <stp/>
        <stp>BDH|4441553249686634551</stp>
        <tr r="AW8" s="19"/>
        <tr r="AW8" s="19"/>
      </tp>
      <tp t="s">
        <v>#N/A N/A</v>
        <stp/>
        <stp>BDH|3057309618791110621</stp>
        <tr r="BA6" s="19"/>
        <tr r="BA6" s="19"/>
      </tp>
      <tp t="s">
        <v>#N/A N/A</v>
        <stp/>
        <stp>BDH|6613200206205845738</stp>
        <tr r="AX18" s="16"/>
        <tr r="AX18" s="20"/>
      </tp>
      <tp t="s">
        <v>#N/A N/A</v>
        <stp/>
        <stp>BDH|6011099181460477874</stp>
        <tr r="AS14" s="16"/>
        <tr r="AS14" s="16"/>
      </tp>
      <tp t="s">
        <v>#N/A Requesting Data...3030299733</v>
        <stp/>
        <stp>BDP|5024399730220369322</stp>
        <tr r="J27" s="20"/>
      </tp>
      <tp t="s">
        <v>#N/A N/A</v>
        <stp/>
        <stp>BDP|9958587999004706772</stp>
        <tr r="J29" s="20"/>
      </tp>
      <tp t="s">
        <v>#N/A N/A</v>
        <stp/>
        <stp>BDH|7526740416036607193</stp>
        <tr r="AS12" s="20"/>
        <tr r="AS12" s="20"/>
      </tp>
      <tp t="e">
        <v>#N/A</v>
        <stp/>
        <stp>BDH|2505033657729941811</stp>
        <tr r="AV13" s="19"/>
        <tr r="AV13" s="19"/>
      </tp>
      <tp t="s">
        <v>#N/A N/A</v>
        <stp/>
        <stp>BDH|5468809526158374182</stp>
        <tr r="BA12" s="20"/>
        <tr r="BA12" s="20"/>
      </tp>
      <tp t="s">
        <v>#N/A N/A</v>
        <stp/>
        <stp>BDP|2485455337796169599</stp>
        <tr r="J27" s="16"/>
      </tp>
      <tp t="e">
        <v>#N/A</v>
        <stp/>
        <stp>BDH|4862553676660064042</stp>
        <tr r="AI6" s="20"/>
        <tr r="AI6" s="20"/>
      </tp>
      <tp t="s">
        <v>#N/A N/A</v>
        <stp/>
        <stp>BDH|2153395174973443374</stp>
        <tr r="AJ13" s="20"/>
        <tr r="AJ13" s="20"/>
      </tp>
      <tp t="s">
        <v>#N/A N/A</v>
        <stp/>
        <stp>BDH|2064986557788993097</stp>
        <tr r="AO16" s="16"/>
        <tr r="AO16" s="16"/>
      </tp>
      <tp t="e">
        <v>#N/A</v>
        <stp/>
        <stp>BDH|4996927251398113647</stp>
        <tr r="AV17" s="16"/>
        <tr r="AV17" s="16"/>
      </tp>
      <tp t="s">
        <v>#N/A N/A</v>
        <stp/>
        <stp>BDP|9961177232644800988</stp>
        <tr r="D38" s="19"/>
      </tp>
      <tp t="e">
        <v>#N/A</v>
        <stp/>
        <stp>BDH|1935724725923179138</stp>
        <tr r="AO17" s="16"/>
        <tr r="AO17" s="16"/>
      </tp>
      <tp t="e">
        <v>#N/A</v>
        <stp/>
        <stp>BDH|2723990509514952920</stp>
        <tr r="AN17" s="19"/>
        <tr r="AN17" s="19"/>
      </tp>
      <tp t="e">
        <v>#N/A</v>
        <stp/>
        <stp>BDH|3104575109184000436</stp>
        <tr r="AW18" s="19"/>
        <tr r="AW18" s="19"/>
      </tp>
      <tp t="s">
        <v>#N/A N/A</v>
        <stp/>
        <stp>BDH|2096060519204441170</stp>
        <tr r="AM10" s="20"/>
        <tr r="AM10" s="20"/>
      </tp>
      <tp t="s">
        <v>#N/A N/A</v>
        <stp/>
        <stp>BDH|6471582252598340807</stp>
        <tr r="AL11" s="19"/>
        <tr r="AL11" s="19"/>
      </tp>
      <tp t="s">
        <v>#N/A N/A</v>
        <stp/>
        <stp>BDH|3589862384850345566</stp>
        <tr r="AW11" s="16"/>
        <tr r="AW11" s="16"/>
      </tp>
      <tp t="s">
        <v>#N/A N/A</v>
        <stp/>
        <stp>BDH|2950572875147937106</stp>
        <tr r="BB11" s="19"/>
        <tr r="BB11" s="19"/>
      </tp>
      <tp t="s">
        <v>#N/A N/A</v>
        <stp/>
        <stp>BDH|2599962929609164692</stp>
        <tr r="AT13" s="16"/>
        <tr r="AT13" s="16"/>
      </tp>
      <tp t="s">
        <v>#N/A N/A</v>
        <stp/>
        <stp>BDP|9563096490072656496</stp>
        <tr r="J23" s="20"/>
      </tp>
      <tp t="s">
        <v>#N/A N/A</v>
        <stp/>
        <stp>BDH|7082651381658706707</stp>
        <tr r="BB11" s="20"/>
        <tr r="BB11" s="20"/>
        <tr r="D27" s="20"/>
      </tp>
      <tp t="e">
        <v>#N/A</v>
        <stp/>
        <stp>BDH|9538526194426479549</stp>
        <tr r="AM18" s="20"/>
        <tr r="AM18" s="16"/>
      </tp>
      <tp t="s">
        <v>#N/A Requesting Data...2938426617</v>
        <stp/>
        <stp>BDP|4494612461300699229</stp>
        <tr r="L34" s="19"/>
      </tp>
      <tp t="e">
        <v>#N/A</v>
        <stp/>
        <stp>BDH|3622251367794383576</stp>
        <tr r="AK17" s="19"/>
        <tr r="AK17" s="19"/>
      </tp>
      <tp t="s">
        <v>#N/A N/A</v>
        <stp/>
        <stp>BDH|9271977125102661673</stp>
        <tr r="AY10" s="16"/>
        <tr r="AY10" s="16"/>
      </tp>
      <tp t="s">
        <v>#N/A N/A</v>
        <stp/>
        <stp>BDH|8027135892741161762</stp>
        <tr r="AS7" s="20"/>
        <tr r="AS7" s="20"/>
      </tp>
      <tp t="s">
        <v>#N/A N/A</v>
        <stp/>
        <stp>BDH|1459777324775355739</stp>
        <tr r="AN15" s="16"/>
        <tr r="AN15" s="16"/>
      </tp>
      <tp t="e">
        <v>#N/A</v>
        <stp/>
        <stp>BDH|5043094273443805763</stp>
        <tr r="AM17" s="20"/>
        <tr r="AM17" s="20"/>
      </tp>
      <tp t="s">
        <v>#N/A N/A</v>
        <stp/>
        <stp>BDH|2342322175570863088</stp>
        <tr r="AW11" s="19"/>
        <tr r="AW11" s="19"/>
      </tp>
      <tp t="s">
        <v>#N/A N/A</v>
        <stp/>
        <stp>BDH|2588164505491707454</stp>
        <tr r="AR8" s="16"/>
        <tr r="AR8" s="16"/>
      </tp>
      <tp t="s">
        <v>#N/A N/A</v>
        <stp/>
        <stp>BDH|2299604733122405305</stp>
        <tr r="BC6" s="19"/>
        <tr r="BC6" s="19"/>
        <tr r="E27" s="19"/>
      </tp>
      <tp t="s">
        <v>#N/A N/A</v>
        <stp/>
        <stp>BDH|3397436208368390815</stp>
        <tr r="AX16" s="20"/>
        <tr r="AX16" s="20"/>
        <tr r="AX14" s="20"/>
        <tr r="AX14" s="20"/>
      </tp>
      <tp t="s">
        <v>#N/A N/A</v>
        <stp/>
        <stp>BDH|2294575337742887100</stp>
        <tr r="AM15" s="19"/>
        <tr r="AM15" s="19"/>
      </tp>
      <tp t="s">
        <v>#N/A N/A</v>
        <stp/>
        <stp>BDH|4434040680938373393</stp>
        <tr r="AK11" s="16"/>
        <tr r="AK11" s="16"/>
      </tp>
      <tp t="e">
        <v>#N/A</v>
        <stp/>
        <stp>BDH|5547248354907845268</stp>
        <tr r="AL6" s="20"/>
        <tr r="AL6" s="20"/>
      </tp>
      <tp t="s">
        <v>#N/A N/A</v>
        <stp/>
        <stp>BDH|7352273858830533715</stp>
        <tr r="AZ7" s="16"/>
        <tr r="AZ7" s="16"/>
      </tp>
      <tp t="e">
        <v>#N/A</v>
        <stp/>
        <stp>BDH|4492683658785865553</stp>
        <tr r="AH11" s="20"/>
      </tp>
      <tp t="s">
        <v>#N/A N/A</v>
        <stp/>
        <stp>BDH|4739244538183172143</stp>
        <tr r="AY8" s="16"/>
        <tr r="AY8" s="16"/>
      </tp>
      <tp t="e">
        <v>#N/A</v>
        <stp/>
        <stp>BDH|6178154489961413971</stp>
        <tr r="AK10" s="19"/>
        <tr r="AK10" s="19"/>
        <tr r="AK16" s="19"/>
        <tr r="AK16" s="19"/>
      </tp>
      <tp t="s">
        <v>#N/A N/A</v>
        <stp/>
        <stp>BDH|2723039920805884225</stp>
        <tr r="AK10" s="20"/>
        <tr r="AK10" s="20"/>
      </tp>
      <tp t="e">
        <v>#N/A</v>
        <stp/>
        <stp>BDH|5881868360874625872</stp>
        <tr r="AI17" s="20"/>
        <tr r="AI17" s="20"/>
      </tp>
      <tp t="e">
        <v>#N/A</v>
        <stp/>
        <stp>BDH|5786320225702496183</stp>
        <tr r="AV10" s="16"/>
        <tr r="AV10" s="16"/>
      </tp>
      <tp t="e">
        <v>#N/A</v>
        <stp/>
        <stp>BDH|5519071097663082887</stp>
        <tr r="AS11" s="20"/>
        <tr r="AS11" s="20"/>
      </tp>
      <tp t="s">
        <v>#N/A N/A</v>
        <stp/>
        <stp>BDH|2728500983730173874</stp>
        <tr r="AQ10" s="20"/>
        <tr r="AQ10" s="20"/>
      </tp>
      <tp t="s">
        <v>#N/A N/A</v>
        <stp/>
        <stp>BDH|3224746341962247565</stp>
        <tr r="AY12" s="16"/>
        <tr r="AY12" s="16"/>
      </tp>
      <tp t="s">
        <v>#N/A N/A</v>
        <stp/>
        <stp>BDH|4470300800769005940</stp>
        <tr r="BB8" s="20"/>
        <tr r="BB8" s="20"/>
        <tr r="D24" s="20"/>
      </tp>
      <tp t="s">
        <v>#N/A N/A</v>
        <stp/>
        <stp>BDP|1525621849986814279</stp>
        <tr r="D39" s="19"/>
      </tp>
      <tp t="s">
        <v>#N/A N/A</v>
        <stp/>
        <stp>BDP|2081762500820746203</stp>
        <tr r="K31" s="20"/>
      </tp>
      <tp t="s">
        <v>#N/A N/A</v>
        <stp/>
        <stp>BDH|8253346082785101142</stp>
        <tr r="AJ10" s="20"/>
        <tr r="AJ10" s="20"/>
      </tp>
      <tp t="e">
        <v>#N/A</v>
        <stp/>
        <stp>BDH|2578343973772384301</stp>
        <tr r="AR6" s="20"/>
        <tr r="AR6" s="20"/>
      </tp>
      <tp t="s">
        <v>#N/A N/A</v>
        <stp/>
        <stp>BDH|1640348509667920237</stp>
        <tr r="BA12" s="19"/>
        <tr r="BA12" s="19"/>
      </tp>
      <tp t="e">
        <v>#N/A</v>
        <stp/>
        <stp>BDH|7554476848544448488</stp>
        <tr r="AV6" s="16"/>
        <tr r="AV6" s="16"/>
      </tp>
      <tp t="s">
        <v>#N/A N/A</v>
        <stp/>
        <stp>BDP|7441752630383392768</stp>
        <tr r="G40" s="19"/>
        <tr r="G41" s="19"/>
      </tp>
      <tp t="s">
        <v>#N/A N/A</v>
        <stp/>
        <stp>BDH|2774147433947197051</stp>
        <tr r="AS13" s="20"/>
        <tr r="AS13" s="20"/>
      </tp>
      <tp t="s">
        <v>#N/A N/A</v>
        <stp/>
        <stp>BDH|8670259299006975279</stp>
        <tr r="AS14" s="19"/>
        <tr r="AS14" s="19"/>
      </tp>
      <tp t="s">
        <v>#N/A N/A</v>
        <stp/>
        <stp>BDH|7421065016662669376</stp>
        <tr r="AM15" s="20"/>
        <tr r="AM15" s="20"/>
      </tp>
      <tp t="s">
        <v>#N/A N/A</v>
        <stp/>
        <stp>BDH|3949077612147658505</stp>
        <tr r="AU7" s="16"/>
        <tr r="AU7" s="16"/>
      </tp>
      <tp t="e">
        <v>#N/A</v>
        <stp/>
        <stp>BDH|4050709638704177439</stp>
        <tr r="AV12" s="19"/>
        <tr r="AV12" s="19"/>
      </tp>
      <tp t="s">
        <v>#N/A N/A</v>
        <stp/>
        <stp>BDH|1798814115858323086</stp>
        <tr r="AX10" s="20"/>
        <tr r="AX10" s="20"/>
      </tp>
      <tp t="s">
        <v>#N/A N/A</v>
        <stp/>
        <stp>BDP|3195088826122166373</stp>
        <tr r="K31" s="16"/>
      </tp>
      <tp t="e">
        <v>#N/A</v>
        <stp/>
        <stp>BDH|3386115884272784882</stp>
        <tr r="AV16" s="19"/>
        <tr r="AV16" s="19"/>
        <tr r="AV10" s="19"/>
        <tr r="AV10" s="19"/>
      </tp>
      <tp t="s">
        <v>#N/A N/A</v>
        <stp/>
        <stp>BDH|3171805768754474944</stp>
        <tr r="AY13" s="19"/>
        <tr r="AY13" s="19"/>
      </tp>
      <tp t="s">
        <v>#N/A N/A</v>
        <stp/>
        <stp>BDH|6180594223520350167</stp>
        <tr r="AH7" s="20"/>
      </tp>
      <tp t="e">
        <v>#N/A</v>
        <stp/>
        <stp>BDH|9267483766253043839</stp>
        <tr r="AR17" s="20"/>
        <tr r="AR17" s="20"/>
      </tp>
      <tp t="e">
        <v>#N/A</v>
        <stp/>
        <stp>BDH|2503048359363313444</stp>
        <tr r="AR10" s="16"/>
        <tr r="AR10" s="16"/>
      </tp>
      <tp t="s">
        <v>#N/A N/A</v>
        <stp/>
        <stp>BDP|3635779823661985770</stp>
        <tr r="D30" s="19"/>
      </tp>
      <tp t="s">
        <v>#N/A N/A</v>
        <stp/>
        <stp>BDH|1331418309717208258</stp>
        <tr r="BB13" s="19"/>
        <tr r="BB13" s="19"/>
      </tp>
      <tp t="s">
        <v>#N/A N/A</v>
        <stp/>
        <stp>BDH|6161499863521060578</stp>
        <tr r="AW15" s="20"/>
        <tr r="AW15" s="20"/>
      </tp>
      <tp t="s">
        <v>#N/A N/A</v>
        <stp/>
        <stp>BDH|7019983121889012549</stp>
        <tr r="AW14" s="16"/>
        <tr r="AW14" s="16"/>
      </tp>
      <tp t="s">
        <v>#N/A N/A</v>
        <stp/>
        <stp>BDH|2185492458691427290</stp>
        <tr r="AQ7" s="20"/>
        <tr r="AQ7" s="20"/>
      </tp>
      <tp t="e">
        <v>#N/A</v>
        <stp/>
        <stp>BDH|5035318123830173415</stp>
        <tr r="AW12" s="16"/>
        <tr r="AW12" s="16"/>
      </tp>
      <tp t="e">
        <v>#N/A</v>
        <stp/>
        <stp>BDH|6656878487905507313</stp>
        <tr r="AQ17" s="16"/>
        <tr r="AQ17" s="16"/>
      </tp>
      <tp t="s">
        <v>#N/A N/A</v>
        <stp/>
        <stp>BDH|3894152747132988414</stp>
        <tr r="AI9" s="20"/>
        <tr r="AI9" s="20"/>
      </tp>
      <tp t="s">
        <v>#N/A N/A</v>
        <stp/>
        <stp>BDH|4094508666931040655</stp>
        <tr r="AI16" s="16"/>
        <tr r="AI16" s="16"/>
      </tp>
      <tp t="e">
        <v>#N/A</v>
        <stp/>
        <stp>BDH|3880370236496954532</stp>
        <tr r="AW10" s="16"/>
        <tr r="AW10" s="16"/>
      </tp>
      <tp t="s">
        <v>#N/A N/A</v>
        <stp/>
        <stp>BDH|6896106306411785694</stp>
        <tr r="AM9" s="16"/>
        <tr r="AM9" s="16"/>
      </tp>
      <tp t="s">
        <v>#N/A N/A</v>
        <stp/>
        <stp>BDH|9108316933630147931</stp>
        <tr r="AG7" s="16"/>
      </tp>
      <tp t="s">
        <v>#N/A N/A</v>
        <stp/>
        <stp>BDH|9511580557109832055</stp>
        <tr r="AS7" s="19"/>
        <tr r="AS7" s="19"/>
      </tp>
      <tp t="s">
        <v>#N/A N/A</v>
        <stp/>
        <stp>BDH|6359550905114041749</stp>
        <tr r="AP15" s="16"/>
        <tr r="AP15" s="16"/>
      </tp>
      <tp t="s">
        <v>#N/A N/A</v>
        <stp/>
        <stp>BDH|6047444782519774342</stp>
        <tr r="BB14" s="16"/>
        <tr r="BB14" s="16"/>
        <tr r="D30" s="16"/>
      </tp>
      <tp t="s">
        <v>#N/A N/A</v>
        <stp/>
        <stp>BDH|4283577707349808905</stp>
        <tr r="AY17" s="16"/>
        <tr r="AY17" s="16"/>
      </tp>
      <tp t="e">
        <v>#N/A</v>
        <stp/>
        <stp>BDH|1006512878787098531</stp>
        <tr r="AK11" s="20"/>
        <tr r="AK11" s="20"/>
      </tp>
      <tp t="s">
        <v>#N/A N/A</v>
        <stp/>
        <stp>BDP|1051780239190867425</stp>
        <tr r="J32" s="16"/>
      </tp>
      <tp t="s">
        <v>#N/A N/A</v>
        <stp/>
        <stp>BDH|5757210225683110796</stp>
        <tr r="BA9" s="19"/>
        <tr r="BA9" s="19"/>
      </tp>
      <tp t="e">
        <v>#N/A</v>
        <stp/>
        <stp>BDH|7218466780379879326</stp>
        <tr r="AH18" s="20"/>
        <tr r="AH18" s="16"/>
      </tp>
      <tp t="e">
        <v>#N/A</v>
        <stp/>
        <stp>BDH|6520714386898884054</stp>
        <tr r="AM17" s="19"/>
        <tr r="AM17" s="19"/>
      </tp>
      <tp t="s">
        <v>#N/A N/A</v>
        <stp/>
        <stp>BDH|7405735686920963970</stp>
        <tr r="AL14" s="19"/>
        <tr r="AL14" s="19"/>
      </tp>
      <tp t="s">
        <v>#N/A N/A</v>
        <stp/>
        <stp>BDH|1817159338157367544</stp>
        <tr r="AS15" s="20"/>
        <tr r="AS15" s="20"/>
      </tp>
      <tp t="s">
        <v>#N/A N/A</v>
        <stp/>
        <stp>BDP|2338626011285657168</stp>
        <tr r="K25" s="20"/>
      </tp>
      <tp t="s">
        <v>#N/A Requesting Data...2606907640</v>
        <stp/>
        <stp>BDP|4878115951620928119</stp>
        <tr r="K27" s="20"/>
      </tp>
      <tp t="s">
        <v>#N/A N/A</v>
        <stp/>
        <stp>BDH|4235952480281327550</stp>
        <tr r="BC13" s="19"/>
        <tr r="BC13" s="19"/>
        <tr r="E34" s="19"/>
      </tp>
      <tp t="e">
        <v>#N/A</v>
        <stp/>
        <stp>BDH|5034157153640380043</stp>
        <tr r="AL17" s="16"/>
        <tr r="AL17" s="16"/>
      </tp>
      <tp t="s">
        <v>#N/A N/A</v>
        <stp/>
        <stp>BDH|3258341513953292315</stp>
        <tr r="AV14" s="19"/>
        <tr r="AV14" s="19"/>
      </tp>
      <tp t="e">
        <v>#N/A</v>
        <stp/>
        <stp>BDH|7840240808393707750</stp>
        <tr r="AM8" s="20"/>
        <tr r="AM8" s="20"/>
      </tp>
      <tp t="e">
        <v>#N/A</v>
        <stp/>
        <stp>BDH|3102320864677647075</stp>
        <tr r="AJ12" s="16"/>
        <tr r="AJ12" s="16"/>
      </tp>
      <tp t="s">
        <v>#N/A N/A</v>
        <stp/>
        <stp>BDH|3622012950025594243</stp>
        <tr r="AG8" s="19"/>
      </tp>
      <tp t="s">
        <v>#N/A N/A</v>
        <stp/>
        <stp>BDP|3334906784955437640</stp>
        <tr r="K41" s="19"/>
      </tp>
      <tp t="e">
        <v>#N/A</v>
        <stp/>
        <stp>BDH|6775683541520235592</stp>
        <tr r="AP11" s="20"/>
        <tr r="AP11" s="20"/>
      </tp>
      <tp t="s">
        <v>#N/A N/A</v>
        <stp/>
        <stp>BDH|8397381699636357548</stp>
        <tr r="AV10" s="20"/>
        <tr r="AV10" s="20"/>
      </tp>
      <tp t="s">
        <v>#N/A N/A</v>
        <stp/>
        <stp>BDH|7193867673680440952</stp>
        <tr r="AP8" s="16"/>
        <tr r="AP8" s="16"/>
      </tp>
      <tp>
        <v>-0.105</v>
        <stp/>
        <stp>BDP|328144016097734220|22</stp>
        <stp>SFRZ6Z8 comdty</stp>
        <stp>ASK</stp>
        <tr r="H38" s="19"/>
      </tp>
      <tp t="e">
        <v>#N/A</v>
        <stp/>
        <stp>BDH|2510404019022347748</stp>
        <tr r="AH13" s="19"/>
      </tp>
      <tp t="e">
        <v>#N/A</v>
        <stp/>
        <stp>BDH|8531966507806684598</stp>
        <tr r="AS8" s="20"/>
        <tr r="AS8" s="20"/>
      </tp>
      <tp t="s">
        <v>#N/A N/A</v>
        <stp/>
        <stp>BDH|5513002635016055287</stp>
        <tr r="AW16" s="16"/>
        <tr r="AW16" s="16"/>
      </tp>
      <tp t="s">
        <v>#N/A N/A</v>
        <stp/>
        <stp>BDH|2739581337597037110</stp>
        <tr r="AJ9" s="19"/>
        <tr r="AJ9" s="19"/>
      </tp>
      <tp t="e">
        <v>#N/A</v>
        <stp/>
        <stp>BDH|6988240619901489693</stp>
        <tr r="AF17" s="16"/>
      </tp>
      <tp t="s">
        <v>#N/A N/A</v>
        <stp/>
        <stp>BDH|9376933519827073479</stp>
        <tr r="BC14" s="19"/>
        <tr r="BC14" s="19"/>
        <tr r="E35" s="19"/>
      </tp>
      <tp t="s">
        <v>#N/A N/A</v>
        <stp/>
        <stp>BDH|2063758427461524490</stp>
        <tr r="AU9" s="20"/>
        <tr r="AU9" s="20"/>
      </tp>
      <tp t="s">
        <v>#N/A N/A</v>
        <stp/>
        <stp>BDP|8602019692356374591</stp>
        <tr r="L27" s="19"/>
      </tp>
      <tp t="s">
        <v>#N/A N/A</v>
        <stp/>
        <stp>BDH|2605125948290483575</stp>
        <tr r="AK14" s="16"/>
        <tr r="AK14" s="16"/>
      </tp>
      <tp t="s">
        <v>#N/A Requesting Data...2643293348</v>
        <stp/>
        <stp>BDP|5868469520408195933</stp>
        <tr r="D31" s="19"/>
        <tr r="D37" s="19"/>
      </tp>
      <tp t="s">
        <v>#N/A N/A</v>
        <stp/>
        <stp>BDH|6748408659581518478</stp>
        <tr r="BA7" s="16"/>
        <tr r="BA7" s="16"/>
      </tp>
      <tp t="e">
        <v>#N/A</v>
        <stp/>
        <stp>BDH|6550728796948573288</stp>
        <tr r="AS13" s="19"/>
        <tr r="AS13" s="19"/>
      </tp>
      <tp t="s">
        <v>#N/A N/A</v>
        <stp/>
        <stp>BDH|3650830917639938168</stp>
        <tr r="AY14" s="16"/>
        <tr r="AY14" s="16"/>
      </tp>
      <tp t="e">
        <v>#N/A</v>
        <stp/>
        <stp>BDH|3003718790038464773</stp>
        <tr r="AS16" s="20"/>
        <tr r="AS16" s="20"/>
        <tr r="AS14" s="20"/>
        <tr r="AS14" s="20"/>
      </tp>
      <tp t="e">
        <v>#N/A</v>
        <stp/>
        <stp>BDH|9475264246374294957</stp>
        <tr r="AU17" s="19"/>
        <tr r="AU17" s="19"/>
      </tp>
      <tp t="s">
        <v>#N/A N/A</v>
        <stp/>
        <stp>BDH|5608625704809968899</stp>
        <tr r="AJ8" s="16"/>
        <tr r="AJ8" s="16"/>
      </tp>
      <tp t="s">
        <v>#N/A N/A</v>
        <stp/>
        <stp>BDH|3118607315803285577</stp>
        <tr r="AZ17" s="20"/>
        <tr r="AZ17" s="20"/>
      </tp>
      <tp t="s">
        <v>#N/A N/A</v>
        <stp/>
        <stp>BDH|4743693455626806321</stp>
        <tr r="AZ16" s="20"/>
        <tr r="AZ16" s="20"/>
        <tr r="AZ14" s="20"/>
        <tr r="AZ14" s="20"/>
      </tp>
      <tp t="e">
        <v>#N/A</v>
        <stp/>
        <stp>BDH|8871436386546803047</stp>
        <tr r="AU6" s="20"/>
        <tr r="AU6" s="20"/>
      </tp>
      <tp t="e">
        <v>#N/A</v>
        <stp/>
        <stp>BDH|7912236147270328381</stp>
        <tr r="AO6" s="20"/>
        <tr r="AO6" s="20"/>
      </tp>
      <tp t="e">
        <v>#N/A</v>
        <stp/>
        <stp>BDH|5123647406825596420</stp>
        <tr r="AS18" s="16"/>
        <tr r="AS18" s="20"/>
      </tp>
      <tp t="s">
        <v>#N/A N/A</v>
        <stp/>
        <stp>BDH|2706217633818903982</stp>
        <tr r="AV9" s="19"/>
        <tr r="AV9" s="19"/>
      </tp>
      <tp t="s">
        <v>#N/A N/A</v>
        <stp/>
        <stp>BDH|7504036478791916322</stp>
        <tr r="AO11" s="16"/>
        <tr r="AO11" s="16"/>
      </tp>
      <tp t="e">
        <v>#N/A</v>
        <stp/>
        <stp>BDH|9941492685545243229</stp>
        <tr r="AQ17" s="20"/>
        <tr r="AQ17" s="20"/>
      </tp>
      <tp t="s">
        <v>#N/A N/A</v>
        <stp/>
        <stp>BDH|2446064440624875100</stp>
        <tr r="AJ11" s="16"/>
        <tr r="AJ11" s="16"/>
      </tp>
      <tp t="s">
        <v>#N/A N/A</v>
        <stp/>
        <stp>BDH|3794389953665142371</stp>
        <tr r="AF13" s="20"/>
      </tp>
      <tp t="s">
        <v>#N/A N/A</v>
        <stp/>
        <stp>BDH|1296010502575981723</stp>
        <tr r="AY6" s="20"/>
        <tr r="AY6" s="20"/>
      </tp>
      <tp t="s">
        <v>#N/A N/A</v>
        <stp/>
        <stp>BDH|3254204309677091518</stp>
        <tr r="AX12" s="16"/>
        <tr r="AX12" s="16"/>
      </tp>
      <tp t="s">
        <v>#N/A N/A</v>
        <stp/>
        <stp>BDH|2244848552044890868</stp>
        <tr r="AU8" s="16"/>
        <tr r="AU8" s="16"/>
      </tp>
      <tp t="s">
        <v>#N/A Requesting Data...4081525194</v>
        <stp/>
        <stp>BDP|7199184357078602836</stp>
        <tr r="C22" s="20"/>
      </tp>
      <tp t="s">
        <v>#N/A N/A</v>
        <stp/>
        <stp>BDP|8214435691471203790</stp>
        <tr r="D32" s="19"/>
      </tp>
      <tp t="s">
        <v>#N/A N/A</v>
        <stp/>
        <stp>BDH|2726595366450531261</stp>
        <tr r="BA15" s="19"/>
        <tr r="BA15" s="19"/>
      </tp>
      <tp t="s">
        <v>#N/A N/A</v>
        <stp/>
        <stp>BDH|8357125467185964943</stp>
        <tr r="AL13" s="20"/>
        <tr r="AL13" s="20"/>
      </tp>
      <tp t="s">
        <v>#N/A N/A</v>
        <stp/>
        <stp>BDH|2288301957285742294</stp>
        <tr r="AI9" s="16"/>
        <tr r="AI9" s="16"/>
      </tp>
      <tp t="e">
        <v>#N/A</v>
        <stp/>
        <stp>BDH|8009782186725518139</stp>
        <tr r="AH17" s="20"/>
      </tp>
      <tp t="e">
        <v>#N/A</v>
        <stp/>
        <stp>BDH|7525461607192529287</stp>
        <tr r="AU13" s="19"/>
        <tr r="AU13" s="19"/>
      </tp>
      <tp t="e">
        <v>#N/A</v>
        <stp/>
        <stp>BDH|5479629818089771802</stp>
        <tr r="AP17" s="19"/>
        <tr r="AP17" s="19"/>
      </tp>
      <tp t="s">
        <v>#N/A N/A</v>
        <stp/>
        <stp>BDH|4538391497539221479</stp>
        <tr r="AZ16" s="16"/>
        <tr r="AZ16" s="16"/>
      </tp>
      <tp t="s">
        <v>#N/A N/A</v>
        <stp/>
        <stp>BDH|2836620356694803683</stp>
        <tr r="AX7" s="20"/>
        <tr r="AX7" s="20"/>
      </tp>
      <tp t="s">
        <v>#N/A N/A</v>
        <stp/>
        <stp>BDH|7824281161476996647</stp>
        <tr r="AU7" s="19"/>
        <tr r="AU7" s="19"/>
      </tp>
      <tp t="s">
        <v>#N/A N/A</v>
        <stp/>
        <stp>BDH|2998576692174880989</stp>
        <tr r="AT8" s="19"/>
        <tr r="AT8" s="19"/>
      </tp>
      <tp t="s">
        <v>#N/A N/A</v>
        <stp/>
        <stp>BDH|1818215214108904967</stp>
        <tr r="AS9" s="20"/>
        <tr r="AS9" s="20"/>
      </tp>
      <tp t="s">
        <v>#N/A N/A</v>
        <stp/>
        <stp>BDH|9778106874375571956</stp>
        <tr r="AY10" s="20"/>
        <tr r="AY10" s="20"/>
      </tp>
      <tp t="s">
        <v>#N/A N/A</v>
        <stp/>
        <stp>BDH|1628164800007305404</stp>
        <tr r="AZ18" s="20"/>
        <tr r="AZ18" s="16"/>
      </tp>
      <tp t="e">
        <v>#N/A</v>
        <stp/>
        <stp>BDH|7712449557562716735</stp>
        <tr r="AR16" s="20"/>
        <tr r="AR16" s="20"/>
        <tr r="AR14" s="20"/>
        <tr r="AR14" s="20"/>
      </tp>
      <tp t="s">
        <v>#N/A N/A</v>
        <stp/>
        <stp>BDH|8013454690832624432</stp>
        <tr r="AF9" s="20"/>
      </tp>
      <tp t="e">
        <v>#N/A</v>
        <stp/>
        <stp>BDH|3284340961263585639</stp>
        <tr r="AU17" s="20"/>
        <tr r="AU17" s="20"/>
      </tp>
      <tp t="s">
        <v>#N/A N/A</v>
        <stp/>
        <stp>BDH|2436350666441099500</stp>
        <tr r="AV7" s="19"/>
        <tr r="AV7" s="19"/>
      </tp>
      <tp t="s">
        <v>#N/A N/A</v>
        <stp/>
        <stp>BDP|2983757072552395394</stp>
        <tr r="J23" s="16"/>
      </tp>
      <tp t="s">
        <v>#N/A N/A</v>
        <stp/>
        <stp>BDH|2715465254321669178</stp>
        <tr r="AY18" s="16"/>
        <tr r="AY18" s="20"/>
      </tp>
      <tp t="s">
        <v>#N/A N/A</v>
        <stp/>
        <stp>BDH|2535324877100297566</stp>
        <tr r="AL15" s="19"/>
        <tr r="AL15" s="19"/>
      </tp>
      <tp t="s">
        <v>#N/A N/A</v>
        <stp/>
        <stp>BDH|2911088147330342512</stp>
        <tr r="AY16" s="16"/>
        <tr r="AY16" s="16"/>
      </tp>
      <tp t="s">
        <v>#N/A N/A</v>
        <stp/>
        <stp>BDH|8065649754440688834</stp>
        <tr r="AN10" s="20"/>
        <tr r="AN10" s="20"/>
      </tp>
      <tp t="s">
        <v>#N/A N/A</v>
        <stp/>
        <stp>BDH|1796223727143127167</stp>
        <tr r="BA7" s="19"/>
        <tr r="BA7" s="19"/>
      </tp>
      <tp t="s">
        <v>#N/A N/A</v>
        <stp/>
        <stp>BDH|57437689146583490</stp>
        <tr r="AF9" s="16"/>
      </tp>
      <tp t="s">
        <v>#N/A N/A</v>
        <stp/>
        <stp>BDP|29165495392677330</stp>
        <tr r="J29" s="16"/>
      </tp>
      <tp>
        <v>2770</v>
        <stp/>
        <stp>BDP|3323016486341214290|22</stp>
        <stp>ERZ7ERM8 comdty</stp>
        <stp>VOLUME</stp>
        <tr r="E30" s="16"/>
      </tp>
      <tp t="s">
        <v>#N/A Requesting Data...3498542729</v>
        <stp/>
        <stp>BDP|94301313242623854</stp>
        <tr r="J22" s="20"/>
      </tp>
      <tp>
        <v>1416</v>
        <stp/>
        <stp>BDP|4211154968690522910|22</stp>
        <stp>ERH7ERH8 comdty</stp>
        <stp>VOLUME</stp>
        <tr r="E32" s="16"/>
      </tp>
      <tp>
        <v>96.402500000000003</v>
        <stp/>
        <stp>BDP|9228130234413744635|22</stp>
        <stp>SFR1YM6 comdty</stp>
        <stp>BID</stp>
        <tr r="G29" s="19"/>
      </tp>
      <tp>
        <v>96.592500000000001</v>
        <stp/>
        <stp>BDP|1049640316957481972|22</stp>
        <stp>SFR1YM7 comdty</stp>
        <stp>BID</stp>
        <tr r="G36" s="19"/>
      </tp>
      <tp t="s">
        <v>#N/A N/A</v>
        <stp/>
        <stp>BDP|45490528475501223</stp>
        <tr r="L40" s="19"/>
      </tp>
      <tp>
        <v>96.5</v>
        <stp/>
        <stp>BDP|7153709432233764653|22</stp>
        <stp>SFR2YM6 comdty</stp>
        <stp>ASK</stp>
        <tr r="H32" s="19"/>
      </tp>
      <tp>
        <v>4862</v>
        <stp/>
        <stp>BDP|7455483057477056513|22</stp>
        <stp>ERM6ERU6 comdty</stp>
        <stp>VOLUME</stp>
        <tr r="E28" s="16"/>
      </tp>
      <tp>
        <v>95.975009999999997</v>
        <stp/>
        <stp>BDP|7318845579316424429|22</stp>
        <stp>SFI2YM6 comdty</stp>
        <stp>ASK</stp>
        <tr r="G29" s="20"/>
      </tp>
      <tp>
        <v>0.1275</v>
        <stp/>
        <stp>BDP|892978460938893709|22</stp>
        <stp>TKYERM6 comdty</stp>
        <stp>ASK</stp>
        <tr r="G22" s="16"/>
      </tp>
      <tp t="s">
        <v>#N/A N/A</v>
        <stp/>
        <stp>BDH|191251262408995979</stp>
        <tr r="AS13" s="16"/>
        <tr r="AS13" s="16"/>
      </tp>
      <tp t="s">
        <v>#N/A N/A</v>
        <stp/>
        <stp>BDH|556556340903028791</stp>
        <tr r="BB10" s="16"/>
        <tr r="BB10" s="16"/>
        <tr r="D26" s="16"/>
      </tp>
      <tp t="s">
        <v>#N/A N/A</v>
        <stp/>
        <stp>BDH|278492276992701497</stp>
        <tr r="AP8" s="19"/>
        <tr r="AP8" s="19"/>
      </tp>
      <tp>
        <v>2400</v>
        <stp/>
        <stp>BDP|8952896321703203345|22</stp>
        <stp>SFIZ7H8 comdty</stp>
        <stp>VOLUME</stp>
        <tr r="E31" s="20"/>
      </tp>
      <tp>
        <v>5662</v>
        <stp/>
        <stp>BDP|7306759703204545887|22</stp>
        <stp>SFIZ6H7 comdty</stp>
        <stp>VOLUME</stp>
        <tr r="E22" s="20"/>
      </tp>
      <tp t="s">
        <v>#N/A N/A</v>
        <stp/>
        <stp>BDH|445681205471396372</stp>
        <tr r="AI13" s="16"/>
        <tr r="AI13" s="16"/>
      </tp>
      <tp t="s">
        <v>#N/A N/A</v>
        <stp/>
        <stp>BDH|462645924440586056</stp>
        <tr r="AN9" s="20"/>
        <tr r="AN9" s="20"/>
      </tp>
      <tp t="s">
        <v>#N/A N/A</v>
        <stp/>
        <stp>BDH|150253768636937603</stp>
        <tr r="AX15" s="20"/>
        <tr r="AX15" s="20"/>
      </tp>
      <tp t="s">
        <v>#N/A N/A</v>
        <stp/>
        <stp>BDH|499248855802104149</stp>
        <tr r="AZ7" s="19"/>
        <tr r="AZ7" s="19"/>
      </tp>
      <tp>
        <v>96.594999999999999</v>
        <stp/>
        <stp>BDP|17219082454101010160|22</stp>
        <stp>SFR1YM7 comdty</stp>
        <stp>ASK</stp>
        <tr r="H36" s="19"/>
      </tp>
      <tp t="s">
        <v>#N/A Requesting Data...2661826584</v>
        <stp/>
        <stp>BDP|909915385126572092</stp>
        <tr r="K24" s="20"/>
      </tp>
      <tp t="s">
        <v>#N/A N/A</v>
        <stp/>
        <stp>BDH|323571084183758959</stp>
        <tr r="AF14" s="16"/>
      </tp>
      <tp>
        <v>5969</v>
        <stp/>
        <stp>BDP|7560077771663868816|22</stp>
        <stp>SFIU6H7 comdty</stp>
        <stp>VOLUME</stp>
        <tr r="E25" s="20"/>
      </tp>
      <tp t="s">
        <v>#N/A N/A</v>
        <stp/>
        <stp>BDH|128403483699957378</stp>
        <tr r="BC9" s="19"/>
        <tr r="BC9" s="19"/>
        <tr r="E30" s="19"/>
      </tp>
      <tp t="s">
        <v>#N/A N/A</v>
        <stp/>
        <stp>BDH|187393664917100432</stp>
        <tr r="BA17" s="16"/>
        <tr r="BA17" s="16"/>
      </tp>
      <tp t="e">
        <v>#N/A</v>
        <stp/>
        <stp>BDH|987852820505459911</stp>
        <tr r="AJ17" s="19"/>
        <tr r="AJ17" s="19"/>
      </tp>
      <tp t="s">
        <v>#N/A N/A</v>
        <stp/>
        <stp>BDH|608779849841368405</stp>
        <tr r="AL15" s="16"/>
        <tr r="AL15" s="16"/>
      </tp>
      <tp t="e">
        <v>#N/A</v>
        <stp/>
        <stp>BDH|593306105327336208</stp>
        <tr r="AI18" s="19"/>
      </tp>
      <tp t="e">
        <v>#N/A</v>
        <stp/>
        <stp>BDH|171135253961502482</stp>
        <tr r="AK18" s="20"/>
        <tr r="AK18" s="16"/>
      </tp>
      <tp t="s">
        <v>#N/A N/A</v>
        <stp/>
        <stp>BDH|990678710501144751</stp>
        <tr r="AU14" s="16"/>
        <tr r="AU14" s="16"/>
      </tp>
      <tp t="s">
        <v>#N/A N/A</v>
        <stp/>
        <stp>BDH|960761055266239585</stp>
        <tr r="AV12" s="20"/>
        <tr r="AV12" s="20"/>
      </tp>
      <tp t="s">
        <v>#N/A N/A</v>
        <stp/>
        <stp>BDH|734574173842221129</stp>
        <tr r="AH7" s="19"/>
      </tp>
      <tp t="s">
        <v>#N/A N/A</v>
        <stp/>
        <stp>BDH|719584731317623104</stp>
        <tr r="AR9" s="19"/>
        <tr r="AR9" s="19"/>
      </tp>
      <tp t="s">
        <v>#N/A N/A</v>
        <stp/>
        <stp>BDH|922486201963373738</stp>
        <tr r="AJ12" s="20"/>
        <tr r="AJ12" s="20"/>
      </tp>
      <tp t="s">
        <v>#N/A N/A</v>
        <stp/>
        <stp>BDH|789389048076957247</stp>
        <tr r="AJ6" s="19"/>
        <tr r="AJ6" s="19"/>
      </tp>
      <tp t="s">
        <v>#N/A N/A</v>
        <stp/>
        <stp>BDH|930717772253749088</stp>
        <tr r="AZ15" s="16"/>
        <tr r="AZ15" s="16"/>
      </tp>
      <tp t="s">
        <v>#N/A Requesting Data...2903727549</v>
        <stp/>
        <stp>BDP|834103053586316044</stp>
        <tr r="C24" s="20"/>
      </tp>
      <tp t="s">
        <v>#N/A N/A</v>
        <stp/>
        <stp>BDP|112453737536664331</stp>
        <tr r="C23" s="16"/>
      </tp>
      <tp t="e">
        <v>#N/A</v>
        <stp/>
        <stp>BDH|952862315092616649</stp>
        <tr r="AS17" s="20"/>
        <tr r="AS17" s="20"/>
      </tp>
      <tp t="e">
        <v>#N/A</v>
        <stp/>
        <stp>BDH|298870252176125631</stp>
        <tr r="AL14" s="20"/>
        <tr r="AL14" s="20"/>
        <tr r="AL16" s="20"/>
        <tr r="AL16" s="20"/>
      </tp>
      <tp t="e">
        <v>#N/A</v>
        <stp/>
        <stp>BDH|719380811677478960</stp>
        <tr r="AN17" s="16"/>
        <tr r="AN17" s="16"/>
      </tp>
      <tp t="s">
        <v>#N/A N/A</v>
        <stp/>
        <stp>BDH|435551691887900783</stp>
        <tr r="AP10" s="20"/>
        <tr r="AP10" s="20"/>
      </tp>
      <tp>
        <v>95.972499999999997</v>
        <stp/>
        <stp>BDP|13049692197847940881|22</stp>
        <stp>SFI2YM6 comdty</stp>
        <stp>BID</stp>
        <tr r="F29" s="20"/>
      </tp>
      <tp t="s">
        <v>#N/A N/A</v>
        <stp/>
        <stp>BDH|389184343479552309</stp>
        <tr r="AW9" s="16"/>
        <tr r="AW9" s="16"/>
      </tp>
      <tp t="e">
        <v>#N/A</v>
        <stp/>
        <stp>BDH|511686453454118853</stp>
        <tr r="AW17" s="19"/>
        <tr r="AW17" s="19"/>
      </tp>
      <tp t="s">
        <v>#N/A N/A</v>
        <stp/>
        <stp>BDP|851369369719117317</stp>
        <tr r="K29" s="19"/>
      </tp>
      <tp t="s">
        <v>#N/A N/A</v>
        <stp/>
        <stp>BDH|995813409784558353</stp>
        <tr r="AJ9" s="20"/>
        <tr r="AJ9" s="20"/>
      </tp>
      <tp>
        <v>96.497500000000002</v>
        <stp/>
        <stp>BDP|14133016444501991841|22</stp>
        <stp>SFR2YM6 comdty</stp>
        <stp>BID</stp>
        <tr r="G32" s="19"/>
      </tp>
      <tp t="s">
        <v>#N/A N/A</v>
        <stp/>
        <stp>BDH|546157097510392604</stp>
        <tr r="AT9" s="19"/>
        <tr r="AT9" s="19"/>
      </tp>
      <tp t="s">
        <v>#N/A N/A</v>
        <stp/>
        <stp>BDP|754264992280053570</stp>
        <tr r="K30" s="16"/>
      </tp>
      <tp t="s">
        <v>#N/A N/A</v>
        <stp/>
        <stp>BDP|238519002482195921</stp>
        <tr r="K23" s="20"/>
      </tp>
      <tp t="e">
        <v>#N/A</v>
        <stp/>
        <stp>BDH|519741733289583420</stp>
        <tr r="AS17" s="16"/>
        <tr r="AS17" s="16"/>
      </tp>
      <tp t="e">
        <v>#N/A</v>
        <stp/>
        <stp>BDH|652810193048727057</stp>
        <tr r="AJ14" s="20"/>
        <tr r="AJ14" s="20"/>
        <tr r="AJ16" s="20"/>
        <tr r="AJ16" s="20"/>
      </tp>
      <tp>
        <v>96.405000000000001</v>
        <stp/>
        <stp>BDP|10482174513549440773|22</stp>
        <stp>SFR1YM6 comdty</stp>
        <stp>ASK</stp>
        <tr r="H29" s="19"/>
      </tp>
      <tp t="s">
        <v>#N/A N/A</v>
        <stp/>
        <stp>BDH|196947859762209674</stp>
        <tr r="AL9" s="16"/>
        <tr r="AL9" s="16"/>
      </tp>
      <tp t="s">
        <v>#N/A N/A</v>
        <stp/>
        <stp>BDH|714923614971353177</stp>
        <tr r="BC11" s="19"/>
        <tr r="BC11" s="19"/>
        <tr r="E32" s="19"/>
      </tp>
      <tp t="s">
        <v>#N/A N/A</v>
        <stp/>
        <stp>BDP|750196793207401788</stp>
        <tr r="J24" s="16"/>
      </tp>
      <tp>
        <v>5377</v>
        <stp/>
        <stp>BDP|5873081898694764494|22</stp>
        <stp>SFIZ6Z7 comdty</stp>
        <stp>VOLUME</stp>
        <tr r="E23" s="20"/>
      </tp>
      <tp t="e">
        <v>#N/A</v>
        <stp/>
        <stp>BDH|330462450679843267</stp>
        <tr r="AP8" s="20"/>
        <tr r="AP8" s="20"/>
      </tp>
      <tp t="s">
        <v>#N/A N/A</v>
        <stp/>
        <stp>BDH|307256999988105981</stp>
        <tr r="AS11" s="16"/>
        <tr r="AS11" s="16"/>
      </tp>
      <tp>
        <v>6440</v>
        <stp/>
        <stp>BDP|9539042360905134302|22</stp>
        <stp>SFR1YM6 comdty</stp>
        <stp>VOLUME</stp>
        <tr r="F29" s="19"/>
      </tp>
      <tp>
        <v>12178</v>
        <stp/>
        <stp>BDP|1113071349522154040|22</stp>
        <stp>TKYERM6 comdty</stp>
        <stp>VOLUME</stp>
        <tr r="E22" s="16"/>
      </tp>
      <tp>
        <v>2899</v>
        <stp/>
        <stp>BDP|5040270180257939934|22</stp>
        <stp>TKYERH7 comdty</stp>
        <stp>VOLUME</stp>
        <tr r="E31" s="16"/>
      </tp>
      <tp>
        <v>3095</v>
        <stp/>
        <stp>BDP|8104047692488348115|22</stp>
        <stp>SFR1YM7 comdty</stp>
        <stp>VOLUME</stp>
        <tr r="F36" s="19"/>
      </tp>
    </main>
    <main first="bofaddin.rtdserver">
      <tp>
        <v>2509</v>
        <stp/>
        <stp>BDP|1298574181832270231|22</stp>
        <stp>SFRM7M8 comdty</stp>
        <stp>VOLUME</stp>
        <tr r="F35" s="19"/>
      </tp>
      <tp>
        <v>5059</v>
        <stp/>
        <stp>BDP|5475143133976145533|22</stp>
        <stp>TKYERU7 comdty</stp>
        <stp>VOLUME</stp>
        <tr r="E27" s="16"/>
      </tp>
      <tp>
        <v>3255</v>
        <stp/>
        <stp>BDP|5152984584439085958|22</stp>
        <stp>SFRZ6Z7 comdty</stp>
        <stp>VOLUME</stp>
        <tr r="F33" s="19"/>
      </tp>
      <tp>
        <v>4307</v>
        <stp/>
        <stp>BDP|3353544065510772799|22</stp>
        <stp>TKYERM8 comdty</stp>
        <stp>VOLUME</stp>
        <tr r="E29" s="1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419E-2E38-4D40-B84B-12240B27A277}">
  <dimension ref="A3:BD41"/>
  <sheetViews>
    <sheetView tabSelected="1" topLeftCell="A25" workbookViewId="0">
      <selection activeCell="O33" sqref="O33"/>
    </sheetView>
  </sheetViews>
  <sheetFormatPr defaultRowHeight="15" x14ac:dyDescent="0.25"/>
  <cols>
    <col min="1" max="1" width="9.140625" customWidth="1"/>
    <col min="3" max="3" width="13" customWidth="1"/>
    <col min="4" max="4" width="11.140625" customWidth="1"/>
    <col min="5" max="5" width="9.140625" customWidth="1"/>
    <col min="9" max="9" width="10.5703125" customWidth="1"/>
    <col min="10" max="10" width="17.7109375" customWidth="1"/>
    <col min="11" max="11" width="10.5703125" customWidth="1"/>
    <col min="12" max="12" width="11.85546875" style="6" customWidth="1"/>
    <col min="13" max="13" width="14" customWidth="1"/>
    <col min="14" max="14" width="9.140625" customWidth="1"/>
    <col min="15" max="15" width="11.140625" customWidth="1"/>
    <col min="16" max="16" width="12.7109375" customWidth="1"/>
    <col min="17" max="17" width="8.85546875" customWidth="1"/>
    <col min="19" max="19" width="8" customWidth="1"/>
    <col min="22" max="22" width="9.140625" customWidth="1"/>
    <col min="24" max="24" width="19" customWidth="1"/>
    <col min="33" max="55" width="10.42578125" bestFit="1" customWidth="1"/>
    <col min="699" max="699" width="9.85546875" bestFit="1" customWidth="1"/>
    <col min="700" max="700" width="19.28515625" bestFit="1" customWidth="1"/>
  </cols>
  <sheetData>
    <row r="3" spans="3:56" x14ac:dyDescent="0.25">
      <c r="AG3">
        <v>-23</v>
      </c>
      <c r="AH3">
        <v>-22</v>
      </c>
      <c r="AI3">
        <v>-21</v>
      </c>
      <c r="AJ3">
        <v>-20</v>
      </c>
      <c r="AK3">
        <v>-19</v>
      </c>
      <c r="AL3">
        <v>-18</v>
      </c>
      <c r="AM3">
        <v>-17</v>
      </c>
      <c r="AN3">
        <v>-16</v>
      </c>
      <c r="AO3">
        <v>-15</v>
      </c>
      <c r="AP3">
        <v>-14</v>
      </c>
      <c r="AQ3">
        <v>-13</v>
      </c>
      <c r="AR3">
        <v>-12</v>
      </c>
      <c r="AS3">
        <v>-11</v>
      </c>
      <c r="AT3">
        <v>-10</v>
      </c>
      <c r="AU3">
        <v>-9</v>
      </c>
      <c r="AV3">
        <v>-8</v>
      </c>
      <c r="AW3">
        <v>-7</v>
      </c>
      <c r="AX3">
        <v>-6</v>
      </c>
      <c r="AY3">
        <v>-5</v>
      </c>
      <c r="AZ3">
        <v>-4</v>
      </c>
      <c r="BA3">
        <v>-3</v>
      </c>
      <c r="BB3">
        <v>-2</v>
      </c>
      <c r="BC3">
        <v>-1</v>
      </c>
    </row>
    <row r="4" spans="3:56" x14ac:dyDescent="0.25">
      <c r="Q4" t="s">
        <v>2</v>
      </c>
      <c r="R4" t="s">
        <v>4</v>
      </c>
      <c r="S4" t="s">
        <v>5</v>
      </c>
      <c r="T4" t="s">
        <v>6</v>
      </c>
      <c r="U4" t="s">
        <v>7</v>
      </c>
      <c r="V4" t="s">
        <v>8</v>
      </c>
      <c r="W4" t="s">
        <v>9</v>
      </c>
    </row>
    <row r="5" spans="3:56" x14ac:dyDescent="0.25"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s="6" t="s">
        <v>19</v>
      </c>
      <c r="Y5" s="5"/>
      <c r="Z5" s="5"/>
      <c r="AA5" s="5"/>
      <c r="AC5" t="s">
        <v>0</v>
      </c>
      <c r="AD5" t="s">
        <v>1</v>
      </c>
      <c r="AE5" t="s">
        <v>20</v>
      </c>
      <c r="AG5" s="1">
        <f ca="1">WORKDAY(TODAY(),AG$3)</f>
        <v>46100</v>
      </c>
      <c r="AH5" s="1">
        <f t="shared" ref="AH5:BC5" ca="1" si="0">WORKDAY(TODAY(),AH$3)</f>
        <v>46101</v>
      </c>
      <c r="AI5" s="1">
        <f t="shared" ca="1" si="0"/>
        <v>46104</v>
      </c>
      <c r="AJ5" s="1">
        <f t="shared" ca="1" si="0"/>
        <v>46105</v>
      </c>
      <c r="AK5" s="1">
        <f t="shared" ca="1" si="0"/>
        <v>46106</v>
      </c>
      <c r="AL5" s="1">
        <f t="shared" ca="1" si="0"/>
        <v>46107</v>
      </c>
      <c r="AM5" s="1">
        <f t="shared" ca="1" si="0"/>
        <v>46108</v>
      </c>
      <c r="AN5" s="1">
        <f t="shared" ca="1" si="0"/>
        <v>46111</v>
      </c>
      <c r="AO5" s="1">
        <f t="shared" ca="1" si="0"/>
        <v>46112</v>
      </c>
      <c r="AP5" s="1">
        <f t="shared" ca="1" si="0"/>
        <v>46113</v>
      </c>
      <c r="AQ5" s="1">
        <f t="shared" ca="1" si="0"/>
        <v>46114</v>
      </c>
      <c r="AR5" s="1">
        <f t="shared" ca="1" si="0"/>
        <v>46115</v>
      </c>
      <c r="AS5" s="1">
        <f t="shared" ca="1" si="0"/>
        <v>46118</v>
      </c>
      <c r="AT5" s="1">
        <f t="shared" ca="1" si="0"/>
        <v>46119</v>
      </c>
      <c r="AU5" s="1">
        <f t="shared" ca="1" si="0"/>
        <v>46120</v>
      </c>
      <c r="AV5" s="1">
        <f t="shared" ca="1" si="0"/>
        <v>46121</v>
      </c>
      <c r="AW5" s="1">
        <f t="shared" ca="1" si="0"/>
        <v>46122</v>
      </c>
      <c r="AX5" s="1">
        <f t="shared" ca="1" si="0"/>
        <v>46125</v>
      </c>
      <c r="AY5" s="1">
        <f t="shared" ca="1" si="0"/>
        <v>46126</v>
      </c>
      <c r="AZ5" s="1">
        <f t="shared" ca="1" si="0"/>
        <v>46127</v>
      </c>
      <c r="BA5" s="1">
        <f t="shared" ca="1" si="0"/>
        <v>46128</v>
      </c>
      <c r="BB5" s="1">
        <f t="shared" ca="1" si="0"/>
        <v>46129</v>
      </c>
      <c r="BC5" s="1">
        <f t="shared" ca="1" si="0"/>
        <v>46132</v>
      </c>
    </row>
    <row r="6" spans="3:56" x14ac:dyDescent="0.25">
      <c r="C6" t="s">
        <v>80</v>
      </c>
      <c r="D6" t="s">
        <v>81</v>
      </c>
      <c r="E6">
        <v>43716</v>
      </c>
      <c r="F6">
        <v>-5</v>
      </c>
      <c r="G6">
        <v>-4.5</v>
      </c>
      <c r="H6">
        <v>194</v>
      </c>
      <c r="I6">
        <v>9880</v>
      </c>
      <c r="J6">
        <v>-4.5</v>
      </c>
      <c r="K6" t="s">
        <v>98</v>
      </c>
      <c r="L6" s="6" t="s">
        <v>23</v>
      </c>
      <c r="O6" t="str">
        <f t="shared" ref="O6:O18" si="1">C6&amp;" comdty"</f>
        <v>SFRM6U6 comdty</v>
      </c>
      <c r="Y6" s="2"/>
      <c r="Z6" s="2"/>
      <c r="AA6" s="2"/>
      <c r="AC6">
        <f ca="1">AVERAGE(AJ6:BC6)</f>
        <v>2.2500000000000007E-3</v>
      </c>
      <c r="AD6">
        <f ca="1">_xlfn.STDEV.P(AJ6:BC6)</f>
        <v>3.8323458873123654E-2</v>
      </c>
      <c r="AE6">
        <f t="shared" ref="AE6:AE16" ca="1" si="2">(D27-AC6)/AD6</f>
        <v>-1.2329262908243535</v>
      </c>
      <c r="AG6" cm="1">
        <f t="array" aca="1" ref="AG6" ca="1">_xll.BDH($O6,$Q$4,AG$5)</f>
        <v>-1.4999999999999999E-2</v>
      </c>
      <c r="AH6" cm="1">
        <f t="array" aca="1" ref="AH6" ca="1">_xll.BDH($O6,$Q$4,AH$5)</f>
        <v>4.4999999999999998E-2</v>
      </c>
      <c r="AI6" cm="1">
        <f t="array" aca="1" ref="AI6" ca="1">_xll.BDH($O6,$Q$4,AI$5)</f>
        <v>2.5000000000000001E-2</v>
      </c>
      <c r="AJ6" cm="1">
        <f t="array" aca="1" ref="AJ6" ca="1">IF(ISNUMBER(_xll.BDH($O6,$Q$4,AJ$5)),
   _xll.BDH($O6,$Q$4,AJ$5),
   LOOKUP(2, 1/(ISNUMBER(AG6:AI6)), AG6:AI6))</f>
        <v>5.5E-2</v>
      </c>
      <c r="AK6" cm="1">
        <f t="array" aca="1" ref="AK6" ca="1">IF(ISNUMBER(_xll.BDH($O6,$Q$4,AK$5)),
   _xll.BDH($O6,$Q$4,AK$5),
   LOOKUP(2, 1/(ISNUMBER(AH6:AJ6)), AH6:AJ6))</f>
        <v>0.04</v>
      </c>
      <c r="AL6" cm="1">
        <f t="array" aca="1" ref="AL6" ca="1">IF(ISNUMBER(_xll.BDH($O6,$Q$4,AL$5)),
   _xll.BDH($O6,$Q$4,AL$5),
   LOOKUP(2, 1/(ISNUMBER(AI6:AK6)), AI6:AK6))</f>
        <v>8.5000000000000006E-2</v>
      </c>
      <c r="AM6" cm="1">
        <f t="array" aca="1" ref="AM6" ca="1">IF(ISNUMBER(_xll.BDH($O6,$Q$4,AM$5)),
   _xll.BDH($O6,$Q$4,AM$5),
   LOOKUP(2, 1/(ISNUMBER(AJ6:AL6)), AJ6:AL6))</f>
        <v>5.5E-2</v>
      </c>
      <c r="AN6" cm="1">
        <f t="array" aca="1" ref="AN6" ca="1">IF(ISNUMBER(_xll.BDH($O6,$Q$4,AN$5)),
   _xll.BDH($O6,$Q$4,AN$5),
   LOOKUP(2, 1/(ISNUMBER(AK6:AM6)), AK6:AM6))</f>
        <v>0.01</v>
      </c>
      <c r="AO6" cm="1">
        <f t="array" aca="1" ref="AO6" ca="1">IF(ISNUMBER(_xll.BDH($O6,$Q$4,AO$5)),
   _xll.BDH($O6,$Q$4,AO$5),
   LOOKUP(2, 1/(ISNUMBER(AL6:AN6)), AL6:AN6))</f>
        <v>-5.0000000000000001E-3</v>
      </c>
      <c r="AP6" cm="1">
        <f t="array" aca="1" ref="AP6" ca="1">IF(ISNUMBER(_xll.BDH($O6,$Q$4,AP$5)),
   _xll.BDH($O6,$Q$4,AP$5),
   LOOKUP(2, 1/(ISNUMBER(AM6:AO6)), AM6:AO6))</f>
        <v>-5.0000000000000001E-3</v>
      </c>
      <c r="AQ6" cm="1">
        <f t="array" aca="1" ref="AQ6" ca="1">IF(ISNUMBER(_xll.BDH($O6,$Q$4,AQ$5)),
   _xll.BDH($O6,$Q$4,AQ$5),
   LOOKUP(2, 1/(ISNUMBER(AN6:AP6)), AN6:AP6))</f>
        <v>-5.0000000000000001E-3</v>
      </c>
      <c r="AR6" cm="1">
        <f t="array" aca="1" ref="AR6" ca="1">IF(ISNUMBER(_xll.BDH($O6,$Q$4,AR$5)),
   _xll.BDH($O6,$Q$4,AR$5),
   LOOKUP(2, 1/(ISNUMBER(AO6:AQ6)), AO6:AQ6))</f>
        <v>0.03</v>
      </c>
      <c r="AS6" cm="1">
        <f t="array" aca="1" ref="AS6" ca="1">IF(ISNUMBER(_xll.BDH($O6,$Q$4,AS$5)),
   _xll.BDH($O6,$Q$4,AS$5),
   LOOKUP(2, 1/(ISNUMBER(AP6:AR6)), AP6:AR6))</f>
        <v>0.03</v>
      </c>
      <c r="AT6" cm="1">
        <f t="array" aca="1" ref="AT6" ca="1">IF(ISNUMBER(_xll.BDH($O6,$Q$4,AT$5)),
   _xll.BDH($O6,$Q$4,AT$5),
   LOOKUP(2, 1/(ISNUMBER(AQ6:AS6)), AQ6:AS6))</f>
        <v>0.03</v>
      </c>
      <c r="AU6" cm="1">
        <f t="array" aca="1" ref="AU6" ca="1">IF(ISNUMBER(_xll.BDH($O6,$Q$4,AU$5)),
   _xll.BDH($O6,$Q$4,AU$5),
   LOOKUP(2, 1/(ISNUMBER(AR6:AT6)), AR6:AT6))</f>
        <v>-5.0000000000000001E-3</v>
      </c>
      <c r="AV6" cm="1">
        <f t="array" aca="1" ref="AV6" ca="1">IF(ISNUMBER(_xll.BDH($O6,$Q$4,AV$5)),
   _xll.BDH($O6,$Q$4,AV$5),
   LOOKUP(2, 1/(ISNUMBER(AS6:AU6)), AS6:AU6))</f>
        <v>-0.02</v>
      </c>
      <c r="AW6" cm="1">
        <f t="array" aca="1" ref="AW6" ca="1">IF(ISNUMBER(_xll.BDH($O6,$Q$4,AW$5)),
   _xll.BDH($O6,$Q$4,AW$5),
   LOOKUP(2, 1/(ISNUMBER(AT6:AV6)), AT6:AV6))</f>
        <v>-0.01</v>
      </c>
      <c r="AX6" cm="1">
        <f t="array" aca="1" ref="AX6" ca="1">IF(ISNUMBER(_xll.BDH($O6,$Q$4,AX$5)),
   _xll.BDH($O6,$Q$4,AX$5),
   LOOKUP(2, 1/(ISNUMBER(AU6:AW6)), AU6:AW6))</f>
        <v>-2.5000000000000001E-2</v>
      </c>
      <c r="AY6" cm="1">
        <f t="array" aca="1" ref="AY6" ca="1">IF(ISNUMBER(_xll.BDH($O6,$Q$4,AY$5)),
   _xll.BDH($O6,$Q$4,AY$5),
   LOOKUP(2, 1/(ISNUMBER(AV6:AX6)), AV6:AX6))</f>
        <v>-3.5000000000000003E-2</v>
      </c>
      <c r="AZ6" cm="1">
        <f t="array" aca="1" ref="AZ6" ca="1">IF(ISNUMBER(_xll.BDH($O6,$Q$4,AZ$5)),
   _xll.BDH($O6,$Q$4,AZ$5),
   LOOKUP(2, 1/(ISNUMBER(AW6:AY6)), AW6:AY6))</f>
        <v>-0.03</v>
      </c>
      <c r="BA6" cm="1">
        <f t="array" aca="1" ref="BA6" ca="1">IF(ISNUMBER(_xll.BDH($O6,$Q$4,BA$5)),
   _xll.BDH($O6,$Q$4,BA$5),
   LOOKUP(2, 1/(ISNUMBER(AX6:AZ6)), AX6:AZ6))</f>
        <v>-2.5000000000000001E-2</v>
      </c>
      <c r="BB6" cm="1">
        <f t="array" aca="1" ref="BB6" ca="1">IF(ISNUMBER(_xll.BDH($O6,$Q$4,BB$5)),
   _xll.BDH($O6,$Q$4,BB$5),
   LOOKUP(2, 1/(ISNUMBER(AY6:BA6)), AY6:BA6))</f>
        <v>-6.5000000000000002E-2</v>
      </c>
      <c r="BC6" cm="1">
        <f t="array" aca="1" ref="BC6" ca="1">IF(ISNUMBER(_xll.BDH($O6,$Q$4,BC$5)),
   _xll.BDH($O6,$Q$4,BC$5),
   LOOKUP(2, 1/(ISNUMBER(AZ6:BB6)), AZ6:BB6))</f>
        <v>-0.06</v>
      </c>
      <c r="BD6">
        <f t="shared" ref="BD6:BD15" si="3">D27</f>
        <v>-4.4999999999999998E-2</v>
      </c>
    </row>
    <row r="7" spans="3:56" x14ac:dyDescent="0.25">
      <c r="C7" t="s">
        <v>84</v>
      </c>
      <c r="D7" t="s">
        <v>85</v>
      </c>
      <c r="E7">
        <v>225427</v>
      </c>
      <c r="F7">
        <v>-4</v>
      </c>
      <c r="G7">
        <v>-3.5</v>
      </c>
      <c r="H7">
        <v>49712</v>
      </c>
      <c r="I7">
        <v>4879</v>
      </c>
      <c r="J7">
        <v>-3.5</v>
      </c>
      <c r="K7" t="s">
        <v>99</v>
      </c>
      <c r="L7" s="6" t="s">
        <v>23</v>
      </c>
      <c r="O7" t="str">
        <f t="shared" si="1"/>
        <v>SFRZ6H7 comdty</v>
      </c>
      <c r="Y7" s="2"/>
      <c r="Z7" s="2"/>
      <c r="AA7" s="2"/>
      <c r="AC7">
        <f t="shared" ref="AC7:AC16" ca="1" si="4">AVERAGE(AJ7:BC7)</f>
        <v>-2.5250000000000012E-2</v>
      </c>
      <c r="AD7">
        <f t="shared" ref="AD7:AD16" ca="1" si="5">_xlfn.STDEV.P(AJ7:BC7)</f>
        <v>8.4372685153430733E-3</v>
      </c>
      <c r="AE7">
        <f t="shared" ca="1" si="2"/>
        <v>-1.1555872593446246</v>
      </c>
      <c r="AG7" cm="1">
        <f t="array" aca="1" ref="AG7" ca="1">_xll.BDH($O7,$Q$4,AG$5)</f>
        <v>-3.5000000000000003E-2</v>
      </c>
      <c r="AH7" cm="1">
        <f t="array" aca="1" ref="AH7" ca="1">_xll.BDH($O7,$Q$4,AH$5)</f>
        <v>-1.4999999999999999E-2</v>
      </c>
      <c r="AI7" cm="1">
        <f t="array" aca="1" ref="AI7" ca="1">_xll.BDH($O7,$Q$4,AI$5)</f>
        <v>-1.4999999999999999E-2</v>
      </c>
      <c r="AJ7" cm="1">
        <f t="array" aca="1" ref="AJ7" ca="1">IF(ISNUMBER(_xll.BDH($O7,$Q$4,AJ$5)),
   _xll.BDH($O7,$Q$4,AJ$5),
   LOOKUP(2, 1/(ISNUMBER(AG7:AI7)), AG7:AI7))</f>
        <v>-0.02</v>
      </c>
      <c r="AK7" cm="1">
        <f t="array" aca="1" ref="AK7" ca="1">IF(ISNUMBER(_xll.BDH($O7,$Q$4,AK$5)),
   _xll.BDH($O7,$Q$4,AK$5),
   LOOKUP(2, 1/(ISNUMBER(AH7:AJ7)), AH7:AJ7))</f>
        <v>-0.03</v>
      </c>
      <c r="AL7" cm="1">
        <f t="array" aca="1" ref="AL7" ca="1">IF(ISNUMBER(_xll.BDH($O7,$Q$4,AL$5)),
   _xll.BDH($O7,$Q$4,AL$5),
   LOOKUP(2, 1/(ISNUMBER(AI7:AK7)), AI7:AK7))</f>
        <v>-1.4999999999999999E-2</v>
      </c>
      <c r="AM7" cm="1">
        <f t="array" aca="1" ref="AM7" ca="1">IF(ISNUMBER(_xll.BDH($O7,$Q$4,AM$5)),
   _xll.BDH($O7,$Q$4,AM$5),
   LOOKUP(2, 1/(ISNUMBER(AJ7:AL7)), AJ7:AL7))</f>
        <v>-1.4999999999999999E-2</v>
      </c>
      <c r="AN7" cm="1">
        <f t="array" aca="1" ref="AN7" ca="1">IF(ISNUMBER(_xll.BDH($O7,$Q$4,AN$5)),
   _xll.BDH($O7,$Q$4,AN$5),
   LOOKUP(2, 1/(ISNUMBER(AK7:AM7)), AK7:AM7))</f>
        <v>-0.02</v>
      </c>
      <c r="AO7" cm="1">
        <f t="array" aca="1" ref="AO7" ca="1">IF(ISNUMBER(_xll.BDH($O7,$Q$4,AO$5)),
   _xll.BDH($O7,$Q$4,AO$5),
   LOOKUP(2, 1/(ISNUMBER(AL7:AN7)), AL7:AN7))</f>
        <v>-1.4999999999999999E-2</v>
      </c>
      <c r="AP7" cm="1">
        <f t="array" aca="1" ref="AP7" ca="1">IF(ISNUMBER(_xll.BDH($O7,$Q$4,AP$5)),
   _xll.BDH($O7,$Q$4,AP$5),
   LOOKUP(2, 1/(ISNUMBER(AM7:AO7)), AM7:AO7))</f>
        <v>-0.02</v>
      </c>
      <c r="AQ7" cm="1">
        <f t="array" aca="1" ref="AQ7" ca="1">IF(ISNUMBER(_xll.BDH($O7,$Q$4,AQ$5)),
   _xll.BDH($O7,$Q$4,AQ$5),
   LOOKUP(2, 1/(ISNUMBER(AN7:AP7)), AN7:AP7))</f>
        <v>-2.5000000000000001E-2</v>
      </c>
      <c r="AR7" cm="1">
        <f t="array" aca="1" ref="AR7" ca="1">IF(ISNUMBER(_xll.BDH($O7,$Q$4,AR$5)),
   _xll.BDH($O7,$Q$4,AR$5),
   LOOKUP(2, 1/(ISNUMBER(AO7:AQ7)), AO7:AQ7))</f>
        <v>-0.01</v>
      </c>
      <c r="AS7" cm="1">
        <f t="array" aca="1" ref="AS7" ca="1">IF(ISNUMBER(_xll.BDH($O7,$Q$4,AS$5)),
   _xll.BDH($O7,$Q$4,AS$5),
   LOOKUP(2, 1/(ISNUMBER(AP7:AR7)), AP7:AR7))</f>
        <v>-1.4999999999999999E-2</v>
      </c>
      <c r="AT7" cm="1">
        <f t="array" aca="1" ref="AT7" ca="1">IF(ISNUMBER(_xll.BDH($O7,$Q$4,AT$5)),
   _xll.BDH($O7,$Q$4,AT$5),
   LOOKUP(2, 1/(ISNUMBER(AQ7:AS7)), AQ7:AS7))</f>
        <v>-2.5000000000000001E-2</v>
      </c>
      <c r="AU7" cm="1">
        <f t="array" aca="1" ref="AU7" ca="1">IF(ISNUMBER(_xll.BDH($O7,$Q$4,AU$5)),
   _xll.BDH($O7,$Q$4,AU$5),
   LOOKUP(2, 1/(ISNUMBER(AR7:AT7)), AR7:AT7))</f>
        <v>-0.03</v>
      </c>
      <c r="AV7" cm="1">
        <f t="array" aca="1" ref="AV7" ca="1">IF(ISNUMBER(_xll.BDH($O7,$Q$4,AV$5)),
   _xll.BDH($O7,$Q$4,AV$5),
   LOOKUP(2, 1/(ISNUMBER(AS7:AU7)), AS7:AU7))</f>
        <v>-3.5000000000000003E-2</v>
      </c>
      <c r="AW7" cm="1">
        <f t="array" aca="1" ref="AW7" ca="1">IF(ISNUMBER(_xll.BDH($O7,$Q$4,AW$5)),
   _xll.BDH($O7,$Q$4,AW$5),
   LOOKUP(2, 1/(ISNUMBER(AT7:AV7)), AT7:AV7))</f>
        <v>-0.03</v>
      </c>
      <c r="AX7" cm="1">
        <f t="array" aca="1" ref="AX7" ca="1">IF(ISNUMBER(_xll.BDH($O7,$Q$4,AX$5)),
   _xll.BDH($O7,$Q$4,AX$5),
   LOOKUP(2, 1/(ISNUMBER(AU7:AW7)), AU7:AW7))</f>
        <v>-0.03</v>
      </c>
      <c r="AY7" cm="1">
        <f t="array" aca="1" ref="AY7" ca="1">IF(ISNUMBER(_xll.BDH($O7,$Q$4,AY$5)),
   _xll.BDH($O7,$Q$4,AY$5),
   LOOKUP(2, 1/(ISNUMBER(AV7:AX7)), AV7:AX7))</f>
        <v>-3.5000000000000003E-2</v>
      </c>
      <c r="AZ7" cm="1">
        <f t="array" aca="1" ref="AZ7" ca="1">IF(ISNUMBER(_xll.BDH($O7,$Q$4,AZ$5)),
   _xll.BDH($O7,$Q$4,AZ$5),
   LOOKUP(2, 1/(ISNUMBER(AW7:AY7)), AW7:AY7))</f>
        <v>-3.5000000000000003E-2</v>
      </c>
      <c r="BA7" cm="1">
        <f t="array" aca="1" ref="BA7" ca="1">IF(ISNUMBER(_xll.BDH($O7,$Q$4,BA$5)),
   _xll.BDH($O7,$Q$4,BA$5),
   LOOKUP(2, 1/(ISNUMBER(AX7:AZ7)), AX7:AZ7))</f>
        <v>-2.5000000000000001E-2</v>
      </c>
      <c r="BB7" cm="1">
        <f t="array" aca="1" ref="BB7" ca="1">IF(ISNUMBER(_xll.BDH($O7,$Q$4,BB$5)),
   _xll.BDH($O7,$Q$4,BB$5),
   LOOKUP(2, 1/(ISNUMBER(AY7:BA7)), AY7:BA7))</f>
        <v>-3.5000000000000003E-2</v>
      </c>
      <c r="BC7" cm="1">
        <f t="array" aca="1" ref="BC7" ca="1">IF(ISNUMBER(_xll.BDH($O7,$Q$4,BC$5)),
   _xll.BDH($O7,$Q$4,BC$5),
   LOOKUP(2, 1/(ISNUMBER(AZ7:BB7)), AZ7:BB7))</f>
        <v>-0.04</v>
      </c>
      <c r="BD7">
        <f t="shared" si="3"/>
        <v>-3.5000000000000003E-2</v>
      </c>
    </row>
    <row r="8" spans="3:56" x14ac:dyDescent="0.25">
      <c r="C8" t="s">
        <v>88</v>
      </c>
      <c r="D8" t="s">
        <v>26</v>
      </c>
      <c r="E8">
        <v>19</v>
      </c>
      <c r="F8">
        <v>96.405000000000001</v>
      </c>
      <c r="G8">
        <v>96.407499999999999</v>
      </c>
      <c r="H8">
        <v>257</v>
      </c>
      <c r="I8">
        <v>4855</v>
      </c>
      <c r="J8">
        <v>96.405000000000001</v>
      </c>
      <c r="K8" t="s">
        <v>100</v>
      </c>
      <c r="L8" s="6" t="s">
        <v>27</v>
      </c>
      <c r="O8" t="str">
        <f t="shared" si="1"/>
        <v>SFR1YM6 comdty</v>
      </c>
      <c r="Y8" s="2"/>
      <c r="Z8" s="2"/>
      <c r="AA8" s="2"/>
      <c r="AC8">
        <f t="shared" ca="1" si="4"/>
        <v>96.335624999999993</v>
      </c>
      <c r="AD8">
        <f t="shared" ca="1" si="5"/>
        <v>6.5090681936817135E-2</v>
      </c>
      <c r="AE8">
        <f t="shared" ca="1" si="2"/>
        <v>1.0658207586048887</v>
      </c>
      <c r="AG8" cm="1">
        <f t="array" aca="1" ref="AG8" ca="1">_xll.BDH($O8,$Q$4,AG$5)</f>
        <v>96.302499999999995</v>
      </c>
      <c r="AH8" cm="1">
        <f t="array" aca="1" ref="AH8" ca="1">_xll.BDH($O8,$Q$4,AH$5)</f>
        <v>96.23</v>
      </c>
      <c r="AI8" cm="1">
        <f t="array" aca="1" ref="AI8" ca="1">_xll.BDH($O8,$Q$4,AI$5)</f>
        <v>96.302499999999995</v>
      </c>
      <c r="AJ8" cm="1">
        <f t="array" aca="1" ref="AJ8" ca="1">IF(ISNUMBER(_xll.BDH($O8,$Q$4,AJ$5)),
   _xll.BDH($O8,$Q$4,AJ$5),
   LOOKUP(2, 1/(ISNUMBER(AG8:AI8)), AG8:AI8))</f>
        <v>96.204999999999998</v>
      </c>
      <c r="AK8" cm="1">
        <f t="array" aca="1" ref="AK8" ca="1">IF(ISNUMBER(_xll.BDH($O8,$Q$4,AK$5)),
   _xll.BDH($O8,$Q$4,AK$5),
   LOOKUP(2, 1/(ISNUMBER(AH8:AJ8)), AH8:AJ8))</f>
        <v>96.26</v>
      </c>
      <c r="AL8" cm="1">
        <f t="array" aca="1" ref="AL8" ca="1">IF(ISNUMBER(_xll.BDH($O8,$Q$4,AL$5)),
   _xll.BDH($O8,$Q$4,AL$5),
   LOOKUP(2, 1/(ISNUMBER(AI8:AK8)), AI8:AK8))</f>
        <v>96.182500000000005</v>
      </c>
      <c r="AM8" cm="1">
        <f t="array" aca="1" ref="AM8" ca="1">IF(ISNUMBER(_xll.BDH($O8,$Q$4,AM$5)),
   _xll.BDH($O8,$Q$4,AM$5),
   LOOKUP(2, 1/(ISNUMBER(AJ8:AL8)), AJ8:AL8))</f>
        <v>96.254999999999995</v>
      </c>
      <c r="AN8" cm="1">
        <f t="array" aca="1" ref="AN8" ca="1">IF(ISNUMBER(_xll.BDH($O8,$Q$4,AN$5)),
   _xll.BDH($O8,$Q$4,AN$5),
   LOOKUP(2, 1/(ISNUMBER(AK8:AM8)), AK8:AM8))</f>
        <v>96.33</v>
      </c>
      <c r="AO8" cm="1">
        <f t="array" aca="1" ref="AO8" ca="1">IF(ISNUMBER(_xll.BDH($O8,$Q$4,AO$5)),
   _xll.BDH($O8,$Q$4,AO$5),
   LOOKUP(2, 1/(ISNUMBER(AL8:AN8)), AL8:AN8))</f>
        <v>96.355000000000004</v>
      </c>
      <c r="AP8" cm="1">
        <f t="array" aca="1" ref="AP8" ca="1">IF(ISNUMBER(_xll.BDH($O8,$Q$4,AP$5)),
   _xll.BDH($O8,$Q$4,AP$5),
   LOOKUP(2, 1/(ISNUMBER(AM8:AO8)), AM8:AO8))</f>
        <v>96.36</v>
      </c>
      <c r="AQ8" cm="1">
        <f t="array" aca="1" ref="AQ8" ca="1">IF(ISNUMBER(_xll.BDH($O8,$Q$4,AQ$5)),
   _xll.BDH($O8,$Q$4,AQ$5),
   LOOKUP(2, 1/(ISNUMBER(AN8:AP8)), AN8:AP8))</f>
        <v>96.36</v>
      </c>
      <c r="AR8" cm="1">
        <f t="array" aca="1" ref="AR8" ca="1">IF(ISNUMBER(_xll.BDH($O8,$Q$4,AR$5)),
   _xll.BDH($O8,$Q$4,AR$5),
   LOOKUP(2, 1/(ISNUMBER(AO8:AQ8)), AO8:AQ8))</f>
        <v>96.314999999999998</v>
      </c>
      <c r="AS8" cm="1">
        <f t="array" aca="1" ref="AS8" ca="1">IF(ISNUMBER(_xll.BDH($O8,$Q$4,AS$5)),
   _xll.BDH($O8,$Q$4,AS$5),
   LOOKUP(2, 1/(ISNUMBER(AP8:AR8)), AP8:AR8))</f>
        <v>96.305000000000007</v>
      </c>
      <c r="AT8" cm="1">
        <f t="array" aca="1" ref="AT8" ca="1">IF(ISNUMBER(_xll.BDH($O8,$Q$4,AT$5)),
   _xll.BDH($O8,$Q$4,AT$5),
   LOOKUP(2, 1/(ISNUMBER(AQ8:AS8)), AQ8:AS8))</f>
        <v>96.325000000000003</v>
      </c>
      <c r="AU8" cm="1">
        <f t="array" aca="1" ref="AU8" ca="1">IF(ISNUMBER(_xll.BDH($O8,$Q$4,AU$5)),
   _xll.BDH($O8,$Q$4,AU$5),
   LOOKUP(2, 1/(ISNUMBER(AR8:AT8)), AR8:AT8))</f>
        <v>96.355000000000004</v>
      </c>
      <c r="AV8" cm="1">
        <f t="array" aca="1" ref="AV8" ca="1">IF(ISNUMBER(_xll.BDH($O8,$Q$4,AV$5)),
   _xll.BDH($O8,$Q$4,AV$5),
   LOOKUP(2, 1/(ISNUMBER(AS8:AU8)), AS8:AU8))</f>
        <v>96.37</v>
      </c>
      <c r="AW8" cm="1">
        <f t="array" aca="1" ref="AW8" ca="1">IF(ISNUMBER(_xll.BDH($O8,$Q$4,AW$5)),
   _xll.BDH($O8,$Q$4,AW$5),
   LOOKUP(2, 1/(ISNUMBER(AT8:AV8)), AT8:AV8))</f>
        <v>96.355000000000004</v>
      </c>
      <c r="AX8" cm="1">
        <f t="array" aca="1" ref="AX8" ca="1">IF(ISNUMBER(_xll.BDH($O8,$Q$4,AX$5)),
   _xll.BDH($O8,$Q$4,AX$5),
   LOOKUP(2, 1/(ISNUMBER(AU8:AW8)), AU8:AW8))</f>
        <v>96.37</v>
      </c>
      <c r="AY8" cm="1">
        <f t="array" aca="1" ref="AY8" ca="1">IF(ISNUMBER(_xll.BDH($O8,$Q$4,AY$5)),
   _xll.BDH($O8,$Q$4,AY$5),
   LOOKUP(2, 1/(ISNUMBER(AV8:AX8)), AV8:AX8))</f>
        <v>96.385000000000005</v>
      </c>
      <c r="AZ8" cm="1">
        <f t="array" aca="1" ref="AZ8" ca="1">IF(ISNUMBER(_xll.BDH($O8,$Q$4,AZ$5)),
   _xll.BDH($O8,$Q$4,AZ$5),
   LOOKUP(2, 1/(ISNUMBER(AW8:AY8)), AW8:AY8))</f>
        <v>96.38</v>
      </c>
      <c r="BA8" cm="1">
        <f t="array" aca="1" ref="BA8" ca="1">IF(ISNUMBER(_xll.BDH($O8,$Q$4,BA$5)),
   _xll.BDH($O8,$Q$4,BA$5),
   LOOKUP(2, 1/(ISNUMBER(AX8:AZ8)), AX8:AZ8))</f>
        <v>96.375</v>
      </c>
      <c r="BB8" cm="1">
        <f t="array" aca="1" ref="BB8" ca="1">IF(ISNUMBER(_xll.BDH($O8,$Q$4,BB$5)),
   _xll.BDH($O8,$Q$4,BB$5),
   LOOKUP(2, 1/(ISNUMBER(AY8:BA8)), AY8:BA8))</f>
        <v>96.442499999999995</v>
      </c>
      <c r="BC8" cm="1">
        <f t="array" aca="1" ref="BC8" ca="1">IF(ISNUMBER(_xll.BDH($O8,$Q$4,BC$5)),
   _xll.BDH($O8,$Q$4,BC$5),
   LOOKUP(2, 1/(ISNUMBER(AZ8:BB8)), AZ8:BB8))</f>
        <v>96.427499999999995</v>
      </c>
      <c r="BD8">
        <f t="shared" si="3"/>
        <v>96.405000000000001</v>
      </c>
    </row>
    <row r="9" spans="3:56" x14ac:dyDescent="0.25">
      <c r="C9" t="s">
        <v>86</v>
      </c>
      <c r="D9" t="s">
        <v>87</v>
      </c>
      <c r="E9">
        <v>73382</v>
      </c>
      <c r="F9">
        <v>-9.5</v>
      </c>
      <c r="G9">
        <v>-9</v>
      </c>
      <c r="H9">
        <v>59</v>
      </c>
      <c r="I9">
        <v>4417</v>
      </c>
      <c r="J9">
        <v>-9</v>
      </c>
      <c r="K9" t="s">
        <v>101</v>
      </c>
      <c r="L9" s="6" t="s">
        <v>23</v>
      </c>
      <c r="O9" t="str">
        <f t="shared" si="1"/>
        <v>SFRZ6M7 comdty</v>
      </c>
      <c r="Y9" s="2"/>
      <c r="Z9" s="2"/>
      <c r="AA9" s="2"/>
      <c r="AC9">
        <f t="shared" ca="1" si="4"/>
        <v>-8.7499999999999994E-2</v>
      </c>
      <c r="AD9">
        <f t="shared" ca="1" si="5"/>
        <v>1.2599603168354141E-2</v>
      </c>
      <c r="AE9">
        <f t="shared" ca="1" si="2"/>
        <v>-0.19841894753313663</v>
      </c>
      <c r="AG9" cm="1">
        <f t="array" aca="1" ref="AG9" ca="1">_xll.BDH($O9,$Q$4,AG$5)</f>
        <v>-0.125</v>
      </c>
      <c r="AH9" cm="1">
        <f t="array" aca="1" ref="AH9" ca="1">_xll.BDH($O9,$Q$4,AH$5)</f>
        <v>-0.11</v>
      </c>
      <c r="AI9" cm="1">
        <f t="array" aca="1" ref="AI9" ca="1">_xll.BDH($O9,$Q$4,AI$5)</f>
        <v>-0.1</v>
      </c>
      <c r="AJ9" cm="1">
        <f t="array" aca="1" ref="AJ9" ca="1">IF(ISNUMBER(_xll.BDH($O9,$Q$4,AJ$5)),
   _xll.BDH($O9,$Q$4,AJ$5),
   LOOKUP(2, 1/(ISNUMBER(AG9:AI9)), AG9:AI9))</f>
        <v>-0.11</v>
      </c>
      <c r="AK9" cm="1">
        <f t="array" aca="1" ref="AK9" ca="1">IF(ISNUMBER(_xll.BDH($O9,$Q$4,AK$5)),
   _xll.BDH($O9,$Q$4,AK$5),
   LOOKUP(2, 1/(ISNUMBER(AH9:AJ9)), AH9:AJ9))</f>
        <v>-0.115</v>
      </c>
      <c r="AL9" cm="1">
        <f t="array" aca="1" ref="AL9" ca="1">IF(ISNUMBER(_xll.BDH($O9,$Q$4,AL$5)),
   _xll.BDH($O9,$Q$4,AL$5),
   LOOKUP(2, 1/(ISNUMBER(AI9:AK9)), AI9:AK9))</f>
        <v>-9.5000000000000001E-2</v>
      </c>
      <c r="AM9" cm="1">
        <f t="array" aca="1" ref="AM9" ca="1">IF(ISNUMBER(_xll.BDH($O9,$Q$4,AM$5)),
   _xll.BDH($O9,$Q$4,AM$5),
   LOOKUP(2, 1/(ISNUMBER(AJ9:AL9)), AJ9:AL9))</f>
        <v>-8.5000000000000006E-2</v>
      </c>
      <c r="AN9" cm="1">
        <f t="array" aca="1" ref="AN9" ca="1">IF(ISNUMBER(_xll.BDH($O9,$Q$4,AN$5)),
   _xll.BDH($O9,$Q$4,AN$5),
   LOOKUP(2, 1/(ISNUMBER(AK9:AM9)), AK9:AM9))</f>
        <v>-0.09</v>
      </c>
      <c r="AO9" cm="1">
        <f t="array" aca="1" ref="AO9" ca="1">IF(ISNUMBER(_xll.BDH($O9,$Q$4,AO$5)),
   _xll.BDH($O9,$Q$4,AO$5),
   LOOKUP(2, 1/(ISNUMBER(AL9:AN9)), AL9:AN9))</f>
        <v>-7.0000000000000007E-2</v>
      </c>
      <c r="AP9" cm="1">
        <f t="array" aca="1" ref="AP9" ca="1">IF(ISNUMBER(_xll.BDH($O9,$Q$4,AP$5)),
   _xll.BDH($O9,$Q$4,AP$5),
   LOOKUP(2, 1/(ISNUMBER(AM9:AO9)), AM9:AO9))</f>
        <v>-7.4999999999999997E-2</v>
      </c>
      <c r="AQ9" cm="1">
        <f t="array" aca="1" ref="AQ9" ca="1">IF(ISNUMBER(_xll.BDH($O9,$Q$4,AQ$5)),
   _xll.BDH($O9,$Q$4,AQ$5),
   LOOKUP(2, 1/(ISNUMBER(AN9:AP9)), AN9:AP9))</f>
        <v>-7.4999999999999997E-2</v>
      </c>
      <c r="AR9" cm="1">
        <f t="array" aca="1" ref="AR9" ca="1">IF(ISNUMBER(_xll.BDH($O9,$Q$4,AR$5)),
   _xll.BDH($O9,$Q$4,AR$5),
   LOOKUP(2, 1/(ISNUMBER(AO9:AQ9)), AO9:AQ9))</f>
        <v>-6.5000000000000002E-2</v>
      </c>
      <c r="AS9" cm="1">
        <f t="array" aca="1" ref="AS9" ca="1">IF(ISNUMBER(_xll.BDH($O9,$Q$4,AS$5)),
   _xll.BDH($O9,$Q$4,AS$5),
   LOOKUP(2, 1/(ISNUMBER(AP9:AR9)), AP9:AR9))</f>
        <v>-7.4999999999999997E-2</v>
      </c>
      <c r="AT9" cm="1">
        <f t="array" aca="1" ref="AT9" ca="1">IF(ISNUMBER(_xll.BDH($O9,$Q$4,AT$5)),
   _xll.BDH($O9,$Q$4,AT$5),
   LOOKUP(2, 1/(ISNUMBER(AQ9:AS9)), AQ9:AS9))</f>
        <v>-0.08</v>
      </c>
      <c r="AU9" cm="1">
        <f t="array" aca="1" ref="AU9" ca="1">IF(ISNUMBER(_xll.BDH($O9,$Q$4,AU$5)),
   _xll.BDH($O9,$Q$4,AU$5),
   LOOKUP(2, 1/(ISNUMBER(AR9:AT9)), AR9:AT9))</f>
        <v>-9.5000000000000001E-2</v>
      </c>
      <c r="AV9" cm="1">
        <f t="array" aca="1" ref="AV9" ca="1">IF(ISNUMBER(_xll.BDH($O9,$Q$4,AV$5)),
   _xll.BDH($O9,$Q$4,AV$5),
   LOOKUP(2, 1/(ISNUMBER(AS9:AU9)), AS9:AU9))</f>
        <v>-0.09</v>
      </c>
      <c r="AW9" cm="1">
        <f t="array" aca="1" ref="AW9" ca="1">IF(ISNUMBER(_xll.BDH($O9,$Q$4,AW$5)),
   _xll.BDH($O9,$Q$4,AW$5),
   LOOKUP(2, 1/(ISNUMBER(AT9:AV9)), AT9:AV9))</f>
        <v>-8.5000000000000006E-2</v>
      </c>
      <c r="AX9" cm="1">
        <f t="array" aca="1" ref="AX9" ca="1">IF(ISNUMBER(_xll.BDH($O9,$Q$4,AX$5)),
   _xll.BDH($O9,$Q$4,AX$5),
   LOOKUP(2, 1/(ISNUMBER(AU9:AW9)), AU9:AW9))</f>
        <v>-0.09</v>
      </c>
      <c r="AY9" cm="1">
        <f t="array" aca="1" ref="AY9" ca="1">IF(ISNUMBER(_xll.BDH($O9,$Q$4,AY$5)),
   _xll.BDH($O9,$Q$4,AY$5),
   LOOKUP(2, 1/(ISNUMBER(AV9:AX9)), AV9:AX9))</f>
        <v>-0.1</v>
      </c>
      <c r="AZ9" cm="1">
        <f t="array" aca="1" ref="AZ9" ca="1">IF(ISNUMBER(_xll.BDH($O9,$Q$4,AZ$5)),
   _xll.BDH($O9,$Q$4,AZ$5),
   LOOKUP(2, 1/(ISNUMBER(AW9:AY9)), AW9:AY9))</f>
        <v>-0.09</v>
      </c>
      <c r="BA9" cm="1">
        <f t="array" aca="1" ref="BA9" ca="1">IF(ISNUMBER(_xll.BDH($O9,$Q$4,BA$5)),
   _xll.BDH($O9,$Q$4,BA$5),
   LOOKUP(2, 1/(ISNUMBER(AX9:AZ9)), AX9:AZ9))</f>
        <v>-7.4999999999999997E-2</v>
      </c>
      <c r="BB9" cm="1">
        <f t="array" aca="1" ref="BB9" ca="1">IF(ISNUMBER(_xll.BDH($O9,$Q$4,BB$5)),
   _xll.BDH($O9,$Q$4,BB$5),
   LOOKUP(2, 1/(ISNUMBER(AY9:BA9)), AY9:BA9))</f>
        <v>-9.5000000000000001E-2</v>
      </c>
      <c r="BC9" cm="1">
        <f t="array" aca="1" ref="BC9" ca="1">IF(ISNUMBER(_xll.BDH($O9,$Q$4,BC$5)),
   _xll.BDH($O9,$Q$4,BC$5),
   LOOKUP(2, 1/(ISNUMBER(AZ9:BB9)), AZ9:BB9))</f>
        <v>-9.5000000000000001E-2</v>
      </c>
      <c r="BD9">
        <f t="shared" si="3"/>
        <v>-0.09</v>
      </c>
    </row>
    <row r="10" spans="3:56" x14ac:dyDescent="0.25">
      <c r="C10" t="s">
        <v>28</v>
      </c>
      <c r="D10" t="s">
        <v>29</v>
      </c>
      <c r="E10">
        <v>31036</v>
      </c>
      <c r="F10">
        <v>-10</v>
      </c>
      <c r="G10">
        <v>-9</v>
      </c>
      <c r="H10">
        <v>13708</v>
      </c>
      <c r="I10">
        <v>3921</v>
      </c>
      <c r="J10">
        <v>-9.5</v>
      </c>
      <c r="K10" t="s">
        <v>101</v>
      </c>
      <c r="L10" s="6" t="s">
        <v>23</v>
      </c>
      <c r="O10" t="str">
        <f t="shared" si="1"/>
        <v>SFRM6Z6 comdty</v>
      </c>
      <c r="Y10" s="2"/>
      <c r="Z10" s="2"/>
      <c r="AA10" s="2"/>
      <c r="AC10">
        <f t="shared" ca="1" si="4"/>
        <v>-2.9250000000000005E-2</v>
      </c>
      <c r="AD10">
        <f t="shared" ca="1" si="5"/>
        <v>5.7906713773102338E-2</v>
      </c>
      <c r="AE10">
        <f t="shared" ca="1" si="2"/>
        <v>-1.1354469234367237</v>
      </c>
      <c r="AG10" cm="1">
        <f t="array" aca="1" ref="AG10" ca="1">_xll.BDH($O10,$Q$4,AG$5)</f>
        <v>-0.05</v>
      </c>
      <c r="AH10" cm="1">
        <f t="array" aca="1" ref="AH10" ca="1">_xll.BDH($O10,$Q$4,AH$5)</f>
        <v>3.5000000000000003E-2</v>
      </c>
      <c r="AI10" t="str" cm="1">
        <f t="array" aca="1" ref="AI10" ca="1">_xll.BDH($O10,$Q$4,AI$5)</f>
        <v>#N/A N/A</v>
      </c>
      <c r="AJ10" cm="1">
        <f t="array" aca="1" ref="AJ10" ca="1">IF(ISNUMBER(_xll.BDH($O10,$Q$4,AJ$5)),
   _xll.BDH($O10,$Q$4,AJ$5),
   LOOKUP(2, 1/(ISNUMBER(AG10:AI10)), AG10:AI10))</f>
        <v>4.4999999999999998E-2</v>
      </c>
      <c r="AK10" cm="1">
        <f t="array" aca="1" ref="AK10" ca="1">IF(ISNUMBER(_xll.BDH($O10,$Q$4,AK$5)),
   _xll.BDH($O10,$Q$4,AK$5),
   LOOKUP(2, 1/(ISNUMBER(AH10:AJ10)), AH10:AJ10))</f>
        <v>0.03</v>
      </c>
      <c r="AL10" cm="1">
        <f t="array" aca="1" ref="AL10" ca="1">IF(ISNUMBER(_xll.BDH($O10,$Q$4,AL$5)),
   _xll.BDH($O10,$Q$4,AL$5),
   LOOKUP(2, 1/(ISNUMBER(AI10:AK10)), AI10:AK10))</f>
        <v>0.11</v>
      </c>
      <c r="AM10" cm="1">
        <f t="array" aca="1" ref="AM10" ca="1">IF(ISNUMBER(_xll.BDH($O10,$Q$4,AM$5)),
   _xll.BDH($O10,$Q$4,AM$5),
   LOOKUP(2, 1/(ISNUMBER(AJ10:AL10)), AJ10:AL10))</f>
        <v>0.06</v>
      </c>
      <c r="AN10" cm="1">
        <f t="array" aca="1" ref="AN10" ca="1">IF(ISNUMBER(_xll.BDH($O10,$Q$4,AN$5)),
   _xll.BDH($O10,$Q$4,AN$5),
   LOOKUP(2, 1/(ISNUMBER(AK10:AM10)), AK10:AM10))</f>
        <v>-0.01</v>
      </c>
      <c r="AO10" cm="1">
        <f t="array" aca="1" ref="AO10" ca="1">IF(ISNUMBER(_xll.BDH($O10,$Q$4,AO$5)),
   _xll.BDH($O10,$Q$4,AO$5),
   LOOKUP(2, 1/(ISNUMBER(AL10:AN10)), AL10:AN10))</f>
        <v>-3.5000000000000003E-2</v>
      </c>
      <c r="AP10" cm="1">
        <f t="array" aca="1" ref="AP10" ca="1">IF(ISNUMBER(_xll.BDH($O10,$Q$4,AP$5)),
   _xll.BDH($O10,$Q$4,AP$5),
   LOOKUP(2, 1/(ISNUMBER(AM10:AO10)), AM10:AO10))</f>
        <v>-4.4999999999999998E-2</v>
      </c>
      <c r="AQ10" cm="1">
        <f t="array" aca="1" ref="AQ10" ca="1">IF(ISNUMBER(_xll.BDH($O10,$Q$4,AQ$5)),
   _xll.BDH($O10,$Q$4,AQ$5),
   LOOKUP(2, 1/(ISNUMBER(AN10:AP10)), AN10:AP10))</f>
        <v>-3.5000000000000003E-2</v>
      </c>
      <c r="AR10" cm="1">
        <f t="array" aca="1" ref="AR10" ca="1">IF(ISNUMBER(_xll.BDH($O10,$Q$4,AR$5)),
   _xll.BDH($O10,$Q$4,AR$5),
   LOOKUP(2, 1/(ISNUMBER(AO10:AQ10)), AO10:AQ10))</f>
        <v>0.01</v>
      </c>
      <c r="AS10" cm="1">
        <f t="array" aca="1" ref="AS10" ca="1">IF(ISNUMBER(_xll.BDH($O10,$Q$4,AS$5)),
   _xll.BDH($O10,$Q$4,AS$5),
   LOOKUP(2, 1/(ISNUMBER(AP10:AR10)), AP10:AR10))</f>
        <v>1.4999999999999999E-2</v>
      </c>
      <c r="AT10" cm="1">
        <f t="array" aca="1" ref="AT10" ca="1">IF(ISNUMBER(_xll.BDH($O10,$Q$4,AT$5)),
   _xll.BDH($O10,$Q$4,AT$5),
   LOOKUP(2, 1/(ISNUMBER(AQ10:AS10)), AQ10:AS10))</f>
        <v>-3.5000000000000003E-2</v>
      </c>
      <c r="AU10" cm="1">
        <f t="array" aca="1" ref="AU10" ca="1">IF(ISNUMBER(_xll.BDH($O10,$Q$4,AU$5)),
   _xll.BDH($O10,$Q$4,AU$5),
   LOOKUP(2, 1/(ISNUMBER(AR10:AT10)), AR10:AT10))</f>
        <v>-0.05</v>
      </c>
      <c r="AV10" cm="1">
        <f t="array" aca="1" ref="AV10" ca="1">IF(ISNUMBER(_xll.BDH($O10,$Q$4,AV$5)),
   _xll.BDH($O10,$Q$4,AV$5),
   LOOKUP(2, 1/(ISNUMBER(AS10:AU10)), AS10:AU10))</f>
        <v>-7.0000000000000007E-2</v>
      </c>
      <c r="AW10" cm="1">
        <f t="array" aca="1" ref="AW10" ca="1">IF(ISNUMBER(_xll.BDH($O10,$Q$4,AW$5)),
   _xll.BDH($O10,$Q$4,AW$5),
   LOOKUP(2, 1/(ISNUMBER(AT10:AV10)), AT10:AV10))</f>
        <v>-0.05</v>
      </c>
      <c r="AX10" cm="1">
        <f t="array" aca="1" ref="AX10" ca="1">IF(ISNUMBER(_xll.BDH($O10,$Q$4,AX$5)),
   _xll.BDH($O10,$Q$4,AX$5),
   LOOKUP(2, 1/(ISNUMBER(AU10:AW10)), AU10:AW10))</f>
        <v>-6.5000000000000002E-2</v>
      </c>
      <c r="AY10" cm="1">
        <f t="array" aca="1" ref="AY10" ca="1">IF(ISNUMBER(_xll.BDH($O10,$Q$4,AY$5)),
   _xll.BDH($O10,$Q$4,AY$5),
   LOOKUP(2, 1/(ISNUMBER(AV10:AX10)), AV10:AX10))</f>
        <v>-8.5000000000000006E-2</v>
      </c>
      <c r="AZ10" cm="1">
        <f t="array" aca="1" ref="AZ10" ca="1">IF(ISNUMBER(_xll.BDH($O10,$Q$4,AZ$5)),
   _xll.BDH($O10,$Q$4,AZ$5),
   LOOKUP(2, 1/(ISNUMBER(AW10:AY10)), AW10:AY10))</f>
        <v>-7.4999999999999997E-2</v>
      </c>
      <c r="BA10" cm="1">
        <f t="array" aca="1" ref="BA10" ca="1">IF(ISNUMBER(_xll.BDH($O10,$Q$4,BA$5)),
   _xll.BDH($O10,$Q$4,BA$5),
   LOOKUP(2, 1/(ISNUMBER(AX10:AZ10)), AX10:AZ10))</f>
        <v>-0.06</v>
      </c>
      <c r="BB10" cm="1">
        <f t="array" aca="1" ref="BB10" ca="1">IF(ISNUMBER(_xll.BDH($O10,$Q$4,BB$5)),
   _xll.BDH($O10,$Q$4,BB$5),
   LOOKUP(2, 1/(ISNUMBER(AY10:BA10)), AY10:BA10))</f>
        <v>-0.125</v>
      </c>
      <c r="BC10" cm="1">
        <f t="array" aca="1" ref="BC10" ca="1">IF(ISNUMBER(_xll.BDH($O10,$Q$4,BC$5)),
   _xll.BDH($O10,$Q$4,BC$5),
   LOOKUP(2, 1/(ISNUMBER(AZ10:BB10)), AZ10:BB10))</f>
        <v>-0.115</v>
      </c>
      <c r="BD10">
        <f t="shared" si="3"/>
        <v>-9.5000000000000001E-2</v>
      </c>
    </row>
    <row r="11" spans="3:56" x14ac:dyDescent="0.25">
      <c r="C11" t="s">
        <v>89</v>
      </c>
      <c r="D11" t="s">
        <v>78</v>
      </c>
      <c r="E11">
        <v>58</v>
      </c>
      <c r="F11">
        <v>96.5</v>
      </c>
      <c r="G11">
        <v>96.502499999999998</v>
      </c>
      <c r="H11">
        <v>220</v>
      </c>
      <c r="I11">
        <v>3156</v>
      </c>
      <c r="J11">
        <v>96.5</v>
      </c>
      <c r="K11" t="s">
        <v>102</v>
      </c>
      <c r="L11" s="6" t="s">
        <v>40</v>
      </c>
      <c r="O11" t="str">
        <f t="shared" si="1"/>
        <v>SFR2YM6 comdty</v>
      </c>
      <c r="Y11" s="2"/>
      <c r="Z11" s="2"/>
      <c r="AA11" s="2"/>
      <c r="AC11">
        <f t="shared" ca="1" si="4"/>
        <v>96.429750000000013</v>
      </c>
      <c r="AD11">
        <f t="shared" ca="1" si="5"/>
        <v>6.4744208235177972E-2</v>
      </c>
      <c r="AE11">
        <f t="shared" ca="1" si="2"/>
        <v>1.0850391396371697</v>
      </c>
      <c r="AG11" cm="1">
        <f t="array" aca="1" ref="AG11" ca="1">_xll.BDH($O11,$Q$4,AG$5)</f>
        <v>96.42</v>
      </c>
      <c r="AH11" cm="1">
        <f t="array" aca="1" ref="AH11" ca="1">_xll.BDH($O11,$Q$4,AH$5)</f>
        <v>96.34</v>
      </c>
      <c r="AI11" cm="1">
        <f t="array" aca="1" ref="AI11" ca="1">_xll.BDH($O11,$Q$4,AI$5)</f>
        <v>96.42</v>
      </c>
      <c r="AJ11" cm="1">
        <f t="array" aca="1" ref="AJ11" ca="1">IF(ISNUMBER(_xll.BDH($O11,$Q$4,AJ$5)),
   _xll.BDH($O11,$Q$4,AJ$5),
   LOOKUP(2, 1/(ISNUMBER(AG11:AI11)), AG11:AI11))</f>
        <v>96.314999999999998</v>
      </c>
      <c r="AK11" cm="1">
        <f t="array" aca="1" ref="AK11" ca="1">IF(ISNUMBER(_xll.BDH($O11,$Q$4,AK$5)),
   _xll.BDH($O11,$Q$4,AK$5),
   LOOKUP(2, 1/(ISNUMBER(AH11:AJ11)), AH11:AJ11))</f>
        <v>96.377499999999998</v>
      </c>
      <c r="AL11" cm="1">
        <f t="array" aca="1" ref="AL11" ca="1">IF(ISNUMBER(_xll.BDH($O11,$Q$4,AL$5)),
   _xll.BDH($O11,$Q$4,AL$5),
   LOOKUP(2, 1/(ISNUMBER(AI11:AK11)), AI11:AK11))</f>
        <v>96.275000000000006</v>
      </c>
      <c r="AM11" cm="1">
        <f t="array" aca="1" ref="AM11" ca="1">IF(ISNUMBER(_xll.BDH($O11,$Q$4,AM$5)),
   _xll.BDH($O11,$Q$4,AM$5),
   LOOKUP(2, 1/(ISNUMBER(AJ11:AL11)), AJ11:AL11))</f>
        <v>96.344999999999999</v>
      </c>
      <c r="AN11" cm="1">
        <f t="array" aca="1" ref="AN11" ca="1">IF(ISNUMBER(_xll.BDH($O11,$Q$4,AN$5)),
   _xll.BDH($O11,$Q$4,AN$5),
   LOOKUP(2, 1/(ISNUMBER(AK11:AM11)), AK11:AM11))</f>
        <v>96.424999999999997</v>
      </c>
      <c r="AO11" cm="1">
        <f t="array" aca="1" ref="AO11" ca="1">IF(ISNUMBER(_xll.BDH($O11,$Q$4,AO$5)),
   _xll.BDH($O11,$Q$4,AO$5),
   LOOKUP(2, 1/(ISNUMBER(AL11:AN11)), AL11:AN11))</f>
        <v>96.45</v>
      </c>
      <c r="AP11" cm="1">
        <f t="array" aca="1" ref="AP11" ca="1">IF(ISNUMBER(_xll.BDH($O11,$Q$4,AP$5)),
   _xll.BDH($O11,$Q$4,AP$5),
   LOOKUP(2, 1/(ISNUMBER(AM11:AO11)), AM11:AO11))</f>
        <v>96.442499999999995</v>
      </c>
      <c r="AQ11" cm="1">
        <f t="array" aca="1" ref="AQ11" ca="1">IF(ISNUMBER(_xll.BDH($O11,$Q$4,AQ$5)),
   _xll.BDH($O11,$Q$4,AQ$5),
   LOOKUP(2, 1/(ISNUMBER(AN11:AP11)), AN11:AP11))</f>
        <v>96.442499999999995</v>
      </c>
      <c r="AR11" cm="1">
        <f t="array" aca="1" ref="AR11" ca="1">IF(ISNUMBER(_xll.BDH($O11,$Q$4,AR$5)),
   _xll.BDH($O11,$Q$4,AR$5),
   LOOKUP(2, 1/(ISNUMBER(AO11:AQ11)), AO11:AQ11))</f>
        <v>96.392499999999998</v>
      </c>
      <c r="AS11" cm="1">
        <f t="array" aca="1" ref="AS11" ca="1">IF(ISNUMBER(_xll.BDH($O11,$Q$4,AS$5)),
   _xll.BDH($O11,$Q$4,AS$5),
   LOOKUP(2, 1/(ISNUMBER(AP11:AR11)), AP11:AR11))</f>
        <v>96.392499999999998</v>
      </c>
      <c r="AT11" cm="1">
        <f t="array" aca="1" ref="AT11" ca="1">IF(ISNUMBER(_xll.BDH($O11,$Q$4,AT$5)),
   _xll.BDH($O11,$Q$4,AT$5),
   LOOKUP(2, 1/(ISNUMBER(AQ11:AS11)), AQ11:AS11))</f>
        <v>96.41</v>
      </c>
      <c r="AU11" cm="1">
        <f t="array" aca="1" ref="AU11" ca="1">IF(ISNUMBER(_xll.BDH($O11,$Q$4,AU$5)),
   _xll.BDH($O11,$Q$4,AU$5),
   LOOKUP(2, 1/(ISNUMBER(AR11:AT11)), AR11:AT11))</f>
        <v>96.452500000000001</v>
      </c>
      <c r="AV11" cm="1">
        <f t="array" aca="1" ref="AV11" ca="1">IF(ISNUMBER(_xll.BDH($O11,$Q$4,AV$5)),
   _xll.BDH($O11,$Q$4,AV$5),
   LOOKUP(2, 1/(ISNUMBER(AS11:AU11)), AS11:AU11))</f>
        <v>96.462500000000006</v>
      </c>
      <c r="AW11" cm="1">
        <f t="array" aca="1" ref="AW11" ca="1">IF(ISNUMBER(_xll.BDH($O11,$Q$4,AW$5)),
   _xll.BDH($O11,$Q$4,AW$5),
   LOOKUP(2, 1/(ISNUMBER(AT11:AV11)), AT11:AV11))</f>
        <v>96.444999999999993</v>
      </c>
      <c r="AX11" cm="1">
        <f t="array" aca="1" ref="AX11" ca="1">IF(ISNUMBER(_xll.BDH($O11,$Q$4,AX$5)),
   _xll.BDH($O11,$Q$4,AX$5),
   LOOKUP(2, 1/(ISNUMBER(AU11:AW11)), AU11:AW11))</f>
        <v>96.465000000000003</v>
      </c>
      <c r="AY11" cm="1">
        <f t="array" aca="1" ref="AY11" ca="1">IF(ISNUMBER(_xll.BDH($O11,$Q$4,AY$5)),
   _xll.BDH($O11,$Q$4,AY$5),
   LOOKUP(2, 1/(ISNUMBER(AV11:AX11)), AV11:AX11))</f>
        <v>96.492500000000007</v>
      </c>
      <c r="AZ11" cm="1">
        <f t="array" aca="1" ref="AZ11" ca="1">IF(ISNUMBER(_xll.BDH($O11,$Q$4,AZ$5)),
   _xll.BDH($O11,$Q$4,AZ$5),
   LOOKUP(2, 1/(ISNUMBER(AW11:AY11)), AW11:AY11))</f>
        <v>96.474999999999994</v>
      </c>
      <c r="BA11" cm="1">
        <f t="array" aca="1" ref="BA11" ca="1">IF(ISNUMBER(_xll.BDH($O11,$Q$4,BA$5)),
   _xll.BDH($O11,$Q$4,BA$5),
   LOOKUP(2, 1/(ISNUMBER(AX11:AZ11)), AX11:AZ11))</f>
        <v>96.462500000000006</v>
      </c>
      <c r="BB11" cm="1">
        <f t="array" aca="1" ref="BB11" ca="1">IF(ISNUMBER(_xll.BDH($O11,$Q$4,BB$5)),
   _xll.BDH($O11,$Q$4,BB$5),
   LOOKUP(2, 1/(ISNUMBER(AY11:BA11)), AY11:BA11))</f>
        <v>96.542500000000004</v>
      </c>
      <c r="BC11" cm="1">
        <f t="array" aca="1" ref="BC11" ca="1">IF(ISNUMBER(_xll.BDH($O11,$Q$4,BC$5)),
   _xll.BDH($O11,$Q$4,BC$5),
   LOOKUP(2, 1/(ISNUMBER(AZ11:BB11)), AZ11:BB11))</f>
        <v>96.53</v>
      </c>
      <c r="BD11">
        <f t="shared" si="3"/>
        <v>96.5</v>
      </c>
    </row>
    <row r="12" spans="3:56" x14ac:dyDescent="0.25">
      <c r="C12" t="s">
        <v>76</v>
      </c>
      <c r="D12" t="s">
        <v>77</v>
      </c>
      <c r="E12">
        <v>1519</v>
      </c>
      <c r="F12">
        <v>-20.5</v>
      </c>
      <c r="G12">
        <v>-20</v>
      </c>
      <c r="H12">
        <v>2615</v>
      </c>
      <c r="I12">
        <v>3040</v>
      </c>
      <c r="J12">
        <v>-20</v>
      </c>
      <c r="K12" t="s">
        <v>103</v>
      </c>
      <c r="L12" s="6" t="s">
        <v>23</v>
      </c>
      <c r="O12" t="str">
        <f t="shared" si="1"/>
        <v>SFRZ6Z7 comdty</v>
      </c>
      <c r="Y12" s="2"/>
      <c r="Z12" s="2"/>
      <c r="AA12" s="2"/>
      <c r="AC12">
        <f t="shared" ca="1" si="4"/>
        <v>-0.23075000000000007</v>
      </c>
      <c r="AD12">
        <f t="shared" ca="1" si="5"/>
        <v>3.8512173400107902E-2</v>
      </c>
      <c r="AE12">
        <f t="shared" ca="1" si="2"/>
        <v>0.66861975647232452</v>
      </c>
      <c r="AG12" cm="1">
        <f t="array" aca="1" ref="AG12" ca="1">_xll.BDH($O12,$Q$4,AG$5)</f>
        <v>-0.27500000000000002</v>
      </c>
      <c r="AH12" cm="1">
        <f t="array" aca="1" ref="AH12" ca="1">_xll.BDH($O12,$Q$4,AH$5)</f>
        <v>-0.315</v>
      </c>
      <c r="AI12" cm="1">
        <f t="array" aca="1" ref="AI12" ca="1">_xll.BDH($O12,$Q$4,AI$5)</f>
        <v>-0.29499999999999998</v>
      </c>
      <c r="AJ12" cm="1">
        <f t="array" aca="1" ref="AJ12" ca="1">IF(ISNUMBER(_xll.BDH($O12,$Q$4,AJ$5)),
   _xll.BDH($O12,$Q$4,AJ$5),
   LOOKUP(2, 1/(ISNUMBER(AG12:AI12)), AG12:AI12))</f>
        <v>-0.315</v>
      </c>
      <c r="AK12" cm="1">
        <f t="array" aca="1" ref="AK12" ca="1">IF(ISNUMBER(_xll.BDH($O12,$Q$4,AK$5)),
   _xll.BDH($O12,$Q$4,AK$5),
   LOOKUP(2, 1/(ISNUMBER(AH12:AJ12)), AH12:AJ12))</f>
        <v>-0.31</v>
      </c>
      <c r="AL12" cm="1">
        <f t="array" aca="1" ref="AL12" ca="1">IF(ISNUMBER(_xll.BDH($O12,$Q$4,AL$5)),
   _xll.BDH($O12,$Q$4,AL$5),
   LOOKUP(2, 1/(ISNUMBER(AI12:AK12)), AI12:AK12))</f>
        <v>-0.315</v>
      </c>
      <c r="AM12" cm="1">
        <f t="array" aca="1" ref="AM12" ca="1">IF(ISNUMBER(_xll.BDH($O12,$Q$4,AM$5)),
   _xll.BDH($O12,$Q$4,AM$5),
   LOOKUP(2, 1/(ISNUMBER(AJ12:AL12)), AJ12:AL12))</f>
        <v>-0.26</v>
      </c>
      <c r="AN12" cm="1">
        <f t="array" aca="1" ref="AN12" ca="1">IF(ISNUMBER(_xll.BDH($O12,$Q$4,AN$5)),
   _xll.BDH($O12,$Q$4,AN$5),
   LOOKUP(2, 1/(ISNUMBER(AK12:AM12)), AK12:AM12))</f>
        <v>-0.245</v>
      </c>
      <c r="AO12" cm="1">
        <f t="array" aca="1" ref="AO12" ca="1">IF(ISNUMBER(_xll.BDH($O12,$Q$4,AO$5)),
   _xll.BDH($O12,$Q$4,AO$5),
   LOOKUP(2, 1/(ISNUMBER(AL12:AN12)), AL12:AN12))</f>
        <v>-0.215</v>
      </c>
      <c r="AP12" cm="1">
        <f t="array" aca="1" ref="AP12" ca="1">IF(ISNUMBER(_xll.BDH($O12,$Q$4,AP$5)),
   _xll.BDH($O12,$Q$4,AP$5),
   LOOKUP(2, 1/(ISNUMBER(AM12:AO12)), AM12:AO12))</f>
        <v>-0.2</v>
      </c>
      <c r="AQ12" cm="1">
        <f t="array" aca="1" ref="AQ12" ca="1">IF(ISNUMBER(_xll.BDH($O12,$Q$4,AQ$5)),
   _xll.BDH($O12,$Q$4,AQ$5),
   LOOKUP(2, 1/(ISNUMBER(AN12:AP12)), AN12:AP12))</f>
        <v>-0.2</v>
      </c>
      <c r="AR12" cm="1">
        <f t="array" aca="1" ref="AR12" ca="1">IF(ISNUMBER(_xll.BDH($O12,$Q$4,AR$5)),
   _xll.BDH($O12,$Q$4,AR$5),
   LOOKUP(2, 1/(ISNUMBER(AO12:AQ12)), AO12:AQ12))</f>
        <v>-0.20499999999999999</v>
      </c>
      <c r="AS12" cm="1">
        <f t="array" aca="1" ref="AS12" ca="1">IF(ISNUMBER(_xll.BDH($O12,$Q$4,AS$5)),
   _xll.BDH($O12,$Q$4,AS$5),
   LOOKUP(2, 1/(ISNUMBER(AP12:AR12)), AP12:AR12))</f>
        <v>-0.23499999999999999</v>
      </c>
      <c r="AT12" cm="1">
        <f t="array" aca="1" ref="AT12" ca="1">IF(ISNUMBER(_xll.BDH($O12,$Q$4,AT$5)),
   _xll.BDH($O12,$Q$4,AT$5),
   LOOKUP(2, 1/(ISNUMBER(AQ12:AS12)), AQ12:AS12))</f>
        <v>-0.22500000000000001</v>
      </c>
      <c r="AU12" cm="1">
        <f t="array" aca="1" ref="AU12" ca="1">IF(ISNUMBER(_xll.BDH($O12,$Q$4,AU$5)),
   _xll.BDH($O12,$Q$4,AU$5),
   LOOKUP(2, 1/(ISNUMBER(AR12:AT12)), AR12:AT12))</f>
        <v>-0.22</v>
      </c>
      <c r="AV12" cm="1">
        <f t="array" aca="1" ref="AV12" ca="1">IF(ISNUMBER(_xll.BDH($O12,$Q$4,AV$5)),
   _xll.BDH($O12,$Q$4,AV$5),
   LOOKUP(2, 1/(ISNUMBER(AS12:AU12)), AS12:AU12))</f>
        <v>-0.215</v>
      </c>
      <c r="AW12" cm="1">
        <f t="array" aca="1" ref="AW12" ca="1">IF(ISNUMBER(_xll.BDH($O12,$Q$4,AW$5)),
   _xll.BDH($O12,$Q$4,AW$5),
   LOOKUP(2, 1/(ISNUMBER(AT12:AV12)), AT12:AV12))</f>
        <v>-0.20499999999999999</v>
      </c>
      <c r="AX12" cm="1">
        <f t="array" aca="1" ref="AX12" ca="1">IF(ISNUMBER(_xll.BDH($O12,$Q$4,AX$5)),
   _xll.BDH($O12,$Q$4,AX$5),
   LOOKUP(2, 1/(ISNUMBER(AU12:AW12)), AU12:AW12))</f>
        <v>-0.215</v>
      </c>
      <c r="AY12" cm="1">
        <f t="array" aca="1" ref="AY12" ca="1">IF(ISNUMBER(_xll.BDH($O12,$Q$4,AY$5)),
   _xll.BDH($O12,$Q$4,AY$5),
   LOOKUP(2, 1/(ISNUMBER(AV12:AX12)), AV12:AX12))</f>
        <v>-0.23499999999999999</v>
      </c>
      <c r="AZ12" cm="1">
        <f t="array" aca="1" ref="AZ12" ca="1">IF(ISNUMBER(_xll.BDH($O12,$Q$4,AZ$5)),
   _xll.BDH($O12,$Q$4,AZ$5),
   LOOKUP(2, 1/(ISNUMBER(AW12:AY12)), AW12:AY12))</f>
        <v>-0.21</v>
      </c>
      <c r="BA12" cm="1">
        <f t="array" aca="1" ref="BA12" ca="1">IF(ISNUMBER(_xll.BDH($O12,$Q$4,BA$5)),
   _xll.BDH($O12,$Q$4,BA$5),
   LOOKUP(2, 1/(ISNUMBER(AX12:AZ12)), AX12:AZ12))</f>
        <v>-0.19</v>
      </c>
      <c r="BB12" cm="1">
        <f t="array" aca="1" ref="BB12" ca="1">IF(ISNUMBER(_xll.BDH($O12,$Q$4,BB$5)),
   _xll.BDH($O12,$Q$4,BB$5),
   LOOKUP(2, 1/(ISNUMBER(AY12:BA12)), AY12:BA12))</f>
        <v>-0.2</v>
      </c>
      <c r="BC12" cm="1">
        <f t="array" aca="1" ref="BC12" ca="1">IF(ISNUMBER(_xll.BDH($O12,$Q$4,BC$5)),
   _xll.BDH($O12,$Q$4,BC$5),
   LOOKUP(2, 1/(ISNUMBER(AZ12:BB12)), AZ12:BB12))</f>
        <v>-0.2</v>
      </c>
      <c r="BD12">
        <f t="shared" si="3"/>
        <v>-0.20499999999999999</v>
      </c>
    </row>
    <row r="13" spans="3:56" x14ac:dyDescent="0.25">
      <c r="C13" t="s">
        <v>21</v>
      </c>
      <c r="D13" t="s">
        <v>22</v>
      </c>
      <c r="E13">
        <v>82462</v>
      </c>
      <c r="F13">
        <v>-9</v>
      </c>
      <c r="G13">
        <v>-8.5</v>
      </c>
      <c r="H13">
        <v>22292</v>
      </c>
      <c r="I13">
        <v>2528</v>
      </c>
      <c r="J13">
        <v>-8.5</v>
      </c>
      <c r="K13" t="s">
        <v>104</v>
      </c>
      <c r="L13" s="6" t="s">
        <v>23</v>
      </c>
      <c r="O13" t="str">
        <f t="shared" si="1"/>
        <v>SFRU6H7 comdty</v>
      </c>
      <c r="Y13" s="2"/>
      <c r="Z13" s="2"/>
      <c r="AA13" s="2"/>
      <c r="AC13">
        <f t="shared" ca="1" si="4"/>
        <v>-5.6749999999999988E-2</v>
      </c>
      <c r="AD13">
        <f t="shared" ca="1" si="5"/>
        <v>2.8340562803162564E-2</v>
      </c>
      <c r="AE13">
        <f t="shared" ca="1" si="2"/>
        <v>-0.82037890925036649</v>
      </c>
      <c r="AG13" cm="1">
        <f t="array" aca="1" ref="AG13" ca="1">_xll.BDH($O13,$Q$4,AG$5)</f>
        <v>-7.0000000000000007E-2</v>
      </c>
      <c r="AH13" cm="1">
        <f t="array" aca="1" ref="AH13" ca="1">_xll.BDH($O13,$Q$4,AH$5)</f>
        <v>-2.5000000000000001E-2</v>
      </c>
      <c r="AI13" cm="1">
        <f t="array" aca="1" ref="AI13" ca="1">_xll.BDH($O13,$Q$4,AI$5)</f>
        <v>-0.04</v>
      </c>
      <c r="AJ13" cm="1">
        <f t="array" aca="1" ref="AJ13" ca="1">IF(ISNUMBER(_xll.BDH($O13,$Q$4,AJ$5)),
   _xll.BDH($O13,$Q$4,AJ$5),
   LOOKUP(2, 1/(ISNUMBER(AG13:AI13)), AG13:AI13))</f>
        <v>-0.03</v>
      </c>
      <c r="AK13" cm="1">
        <f t="array" aca="1" ref="AK13" ca="1">IF(ISNUMBER(_xll.BDH($O13,$Q$4,AK$5)),
   _xll.BDH($O13,$Q$4,AK$5),
   LOOKUP(2, 1/(ISNUMBER(AH13:AJ13)), AH13:AJ13))</f>
        <v>-0.04</v>
      </c>
      <c r="AL13" cm="1">
        <f t="array" aca="1" ref="AL13" ca="1">IF(ISNUMBER(_xll.BDH($O13,$Q$4,AL$5)),
   _xll.BDH($O13,$Q$4,AL$5),
   LOOKUP(2, 1/(ISNUMBER(AI13:AK13)), AI13:AK13))</f>
        <v>5.0000000000000001E-3</v>
      </c>
      <c r="AM13" cm="1">
        <f t="array" aca="1" ref="AM13" ca="1">IF(ISNUMBER(_xll.BDH($O13,$Q$4,AM$5)),
   _xll.BDH($O13,$Q$4,AM$5),
   LOOKUP(2, 1/(ISNUMBER(AJ13:AL13)), AJ13:AL13))</f>
        <v>-5.0000000000000001E-3</v>
      </c>
      <c r="AN13" cm="1">
        <f t="array" aca="1" ref="AN13" ca="1">IF(ISNUMBER(_xll.BDH($O13,$Q$4,AN$5)),
   _xll.BDH($O13,$Q$4,AN$5),
   LOOKUP(2, 1/(ISNUMBER(AK13:AM13)), AK13:AM13))</f>
        <v>-0.04</v>
      </c>
      <c r="AO13" cm="1">
        <f t="array" aca="1" ref="AO13" ca="1">IF(ISNUMBER(_xll.BDH($O13,$Q$4,AO$5)),
   _xll.BDH($O13,$Q$4,AO$5),
   LOOKUP(2, 1/(ISNUMBER(AL13:AN13)), AL13:AN13))</f>
        <v>-4.4999999999999998E-2</v>
      </c>
      <c r="AP13" cm="1">
        <f t="array" aca="1" ref="AP13" ca="1">IF(ISNUMBER(_xll.BDH($O13,$Q$4,AP$5)),
   _xll.BDH($O13,$Q$4,AP$5),
   LOOKUP(2, 1/(ISNUMBER(AM13:AO13)), AM13:AO13))</f>
        <v>-0.06</v>
      </c>
      <c r="AQ13" cm="1">
        <f t="array" aca="1" ref="AQ13" ca="1">IF(ISNUMBER(_xll.BDH($O13,$Q$4,AQ$5)),
   _xll.BDH($O13,$Q$4,AQ$5),
   LOOKUP(2, 1/(ISNUMBER(AN13:AP13)), AN13:AP13))</f>
        <v>-6.5000000000000002E-2</v>
      </c>
      <c r="AR13" cm="1">
        <f t="array" aca="1" ref="AR13" ca="1">IF(ISNUMBER(_xll.BDH($O13,$Q$4,AR$5)),
   _xll.BDH($O13,$Q$4,AR$5),
   LOOKUP(2, 1/(ISNUMBER(AO13:AQ13)), AO13:AQ13))</f>
        <v>-0.03</v>
      </c>
      <c r="AS13" cm="1">
        <f t="array" aca="1" ref="AS13" ca="1">IF(ISNUMBER(_xll.BDH($O13,$Q$4,AS$5)),
   _xll.BDH($O13,$Q$4,AS$5),
   LOOKUP(2, 1/(ISNUMBER(AP13:AR13)), AP13:AR13))</f>
        <v>-3.5000000000000003E-2</v>
      </c>
      <c r="AT13" cm="1">
        <f t="array" aca="1" ref="AT13" ca="1">IF(ISNUMBER(_xll.BDH($O13,$Q$4,AT$5)),
   _xll.BDH($O13,$Q$4,AT$5),
   LOOKUP(2, 1/(ISNUMBER(AQ13:AS13)), AQ13:AS13))</f>
        <v>-5.5E-2</v>
      </c>
      <c r="AU13" cm="1">
        <f t="array" aca="1" ref="AU13" ca="1">IF(ISNUMBER(_xll.BDH($O13,$Q$4,AU$5)),
   _xll.BDH($O13,$Q$4,AU$5),
   LOOKUP(2, 1/(ISNUMBER(AR13:AT13)), AR13:AT13))</f>
        <v>-7.4999999999999997E-2</v>
      </c>
      <c r="AV13" cm="1">
        <f t="array" aca="1" ref="AV13" ca="1">IF(ISNUMBER(_xll.BDH($O13,$Q$4,AV$5)),
   _xll.BDH($O13,$Q$4,AV$5),
   LOOKUP(2, 1/(ISNUMBER(AS13:AU13)), AS13:AU13))</f>
        <v>-0.09</v>
      </c>
      <c r="AW13" cm="1">
        <f t="array" aca="1" ref="AW13" ca="1">IF(ISNUMBER(_xll.BDH($O13,$Q$4,AW$5)),
   _xll.BDH($O13,$Q$4,AW$5),
   LOOKUP(2, 1/(ISNUMBER(AT13:AV13)), AT13:AV13))</f>
        <v>-7.0000000000000007E-2</v>
      </c>
      <c r="AX13" cm="1">
        <f t="array" aca="1" ref="AX13" ca="1">IF(ISNUMBER(_xll.BDH($O13,$Q$4,AX$5)),
   _xll.BDH($O13,$Q$4,AX$5),
   LOOKUP(2, 1/(ISNUMBER(AU13:AW13)), AU13:AW13))</f>
        <v>-7.4999999999999997E-2</v>
      </c>
      <c r="AY13" cm="1">
        <f t="array" aca="1" ref="AY13" ca="1">IF(ISNUMBER(_xll.BDH($O13,$Q$4,AY$5)),
   _xll.BDH($O13,$Q$4,AY$5),
   LOOKUP(2, 1/(ISNUMBER(AV13:AX13)), AV13:AX13))</f>
        <v>-9.5000000000000001E-2</v>
      </c>
      <c r="AZ13" cm="1">
        <f t="array" aca="1" ref="AZ13" ca="1">IF(ISNUMBER(_xll.BDH($O13,$Q$4,AZ$5)),
   _xll.BDH($O13,$Q$4,AZ$5),
   LOOKUP(2, 1/(ISNUMBER(AW13:AY13)), AW13:AY13))</f>
        <v>-0.08</v>
      </c>
      <c r="BA13" cm="1">
        <f t="array" aca="1" ref="BA13" ca="1">IF(ISNUMBER(_xll.BDH($O13,$Q$4,BA$5)),
   _xll.BDH($O13,$Q$4,BA$5),
   LOOKUP(2, 1/(ISNUMBER(AX13:AZ13)), AX13:AZ13))</f>
        <v>-0.06</v>
      </c>
      <c r="BB13" cm="1">
        <f t="array" aca="1" ref="BB13" ca="1">IF(ISNUMBER(_xll.BDH($O13,$Q$4,BB$5)),
   _xll.BDH($O13,$Q$4,BB$5),
   LOOKUP(2, 1/(ISNUMBER(AY13:BA13)), AY13:BA13))</f>
        <v>-9.5000000000000001E-2</v>
      </c>
      <c r="BC13" cm="1">
        <f t="array" aca="1" ref="BC13" ca="1">IF(ISNUMBER(_xll.BDH($O13,$Q$4,BC$5)),
   _xll.BDH($O13,$Q$4,BC$5),
   LOOKUP(2, 1/(ISNUMBER(AZ13:BB13)), AZ13:BB13))</f>
        <v>-9.5000000000000001E-2</v>
      </c>
      <c r="BD13">
        <f t="shared" si="3"/>
        <v>-0.08</v>
      </c>
    </row>
    <row r="14" spans="3:56" x14ac:dyDescent="0.25">
      <c r="C14" t="s">
        <v>105</v>
      </c>
      <c r="D14" t="s">
        <v>106</v>
      </c>
      <c r="E14">
        <v>2046</v>
      </c>
      <c r="F14">
        <v>-9</v>
      </c>
      <c r="G14">
        <v>-8.5</v>
      </c>
      <c r="H14">
        <v>4697</v>
      </c>
      <c r="I14">
        <v>2509</v>
      </c>
      <c r="J14">
        <v>-9</v>
      </c>
      <c r="K14" t="s">
        <v>107</v>
      </c>
      <c r="L14" s="6" t="s">
        <v>23</v>
      </c>
      <c r="O14" t="str">
        <f t="shared" si="1"/>
        <v>SFRM7M8 comdty</v>
      </c>
      <c r="Y14" s="2"/>
      <c r="Z14" s="2"/>
      <c r="AA14" s="2"/>
      <c r="AC14">
        <f t="shared" ca="1" si="4"/>
        <v>-0.11550000000000002</v>
      </c>
      <c r="AD14">
        <f t="shared" ca="1" si="5"/>
        <v>3.6772952016393655E-2</v>
      </c>
      <c r="AE14">
        <f t="shared" ca="1" si="2"/>
        <v>0.69344446398080672</v>
      </c>
      <c r="AG14" cm="1">
        <f t="array" aca="1" ref="AG14" ca="1">_xll.BDH($O14,$Q$4,AG$5)</f>
        <v>-0.14000000000000001</v>
      </c>
      <c r="AH14" cm="1">
        <f t="array" aca="1" ref="AH14" ca="1">_xll.BDH($O14,$Q$4,AH$5)</f>
        <v>-0.19</v>
      </c>
      <c r="AI14" cm="1">
        <f t="array" aca="1" ref="AI14" ca="1">_xll.BDH($O14,$Q$4,AI$5)</f>
        <v>-0.15</v>
      </c>
      <c r="AJ14" cm="1">
        <f t="array" aca="1" ref="AJ14" ca="1">IF(ISNUMBER(_xll.BDH($O14,$Q$4,AJ$5)),
   _xll.BDH($O14,$Q$4,AJ$5),
   LOOKUP(2, 1/(ISNUMBER(AG14:AI14)), AG14:AI14))</f>
        <v>-0.185</v>
      </c>
      <c r="AK14" cm="1">
        <f t="array" aca="1" ref="AK14" ca="1">IF(ISNUMBER(_xll.BDH($O14,$Q$4,AK$5)),
   _xll.BDH($O14,$Q$4,AK$5),
   LOOKUP(2, 1/(ISNUMBER(AH14:AJ14)), AH14:AJ14))</f>
        <v>-0.18</v>
      </c>
      <c r="AL14" cm="1">
        <f t="array" aca="1" ref="AL14" ca="1">IF(ISNUMBER(_xll.BDH($O14,$Q$4,AL$5)),
   _xll.BDH($O14,$Q$4,AL$5),
   LOOKUP(2, 1/(ISNUMBER(AI14:AK14)), AI14:AK14))</f>
        <v>-0.215</v>
      </c>
      <c r="AM14" cm="1">
        <f t="array" aca="1" ref="AM14" ca="1">IF(ISNUMBER(_xll.BDH($O14,$Q$4,AM$5)),
   _xll.BDH($O14,$Q$4,AM$5),
   LOOKUP(2, 1/(ISNUMBER(AJ14:AL14)), AJ14:AL14))</f>
        <v>-0.14000000000000001</v>
      </c>
      <c r="AN14" cm="1">
        <f t="array" aca="1" ref="AN14" ca="1">IF(ISNUMBER(_xll.BDH($O14,$Q$4,AN$5)),
   _xll.BDH($O14,$Q$4,AN$5),
   LOOKUP(2, 1/(ISNUMBER(AK14:AM14)), AK14:AM14))</f>
        <v>-0.115</v>
      </c>
      <c r="AO14" cm="1">
        <f t="array" aca="1" ref="AO14" ca="1">IF(ISNUMBER(_xll.BDH($O14,$Q$4,AO$5)),
   _xll.BDH($O14,$Q$4,AO$5),
   LOOKUP(2, 1/(ISNUMBER(AL14:AN14)), AL14:AN14))</f>
        <v>-0.11</v>
      </c>
      <c r="AP14" cm="1">
        <f t="array" aca="1" ref="AP14" ca="1">IF(ISNUMBER(_xll.BDH($O14,$Q$4,AP$5)),
   _xll.BDH($O14,$Q$4,AP$5),
   LOOKUP(2, 1/(ISNUMBER(AM14:AO14)), AM14:AO14))</f>
        <v>-0.09</v>
      </c>
      <c r="AQ14" cm="1">
        <f t="array" aca="1" ref="AQ14" ca="1">IF(ISNUMBER(_xll.BDH($O14,$Q$4,AQ$5)),
   _xll.BDH($O14,$Q$4,AQ$5),
   LOOKUP(2, 1/(ISNUMBER(AN14:AP14)), AN14:AP14))</f>
        <v>-0.09</v>
      </c>
      <c r="AR14" cm="1">
        <f t="array" aca="1" ref="AR14" ca="1">IF(ISNUMBER(_xll.BDH($O14,$Q$4,AR$5)),
   _xll.BDH($O14,$Q$4,AR$5),
   LOOKUP(2, 1/(ISNUMBER(AO14:AQ14)), AO14:AQ14))</f>
        <v>-0.12</v>
      </c>
      <c r="AS14" cm="1">
        <f t="array" aca="1" ref="AS14" ca="1">IF(ISNUMBER(_xll.BDH($O14,$Q$4,AS$5)),
   _xll.BDH($O14,$Q$4,AS$5),
   LOOKUP(2, 1/(ISNUMBER(AP14:AR14)), AP14:AR14))</f>
        <v>-0.125</v>
      </c>
      <c r="AT14" cm="1">
        <f t="array" aca="1" ref="AT14" ca="1">IF(ISNUMBER(_xll.BDH($O14,$Q$4,AT$5)),
   _xll.BDH($O14,$Q$4,AT$5),
   LOOKUP(2, 1/(ISNUMBER(AQ14:AS14)), AQ14:AS14))</f>
        <v>-0.105</v>
      </c>
      <c r="AU14" cm="1">
        <f t="array" aca="1" ref="AU14" ca="1">IF(ISNUMBER(_xll.BDH($O14,$Q$4,AU$5)),
   _xll.BDH($O14,$Q$4,AU$5),
   LOOKUP(2, 1/(ISNUMBER(AR14:AT14)), AR14:AT14))</f>
        <v>-0.1</v>
      </c>
      <c r="AV14" cm="1">
        <f t="array" aca="1" ref="AV14" ca="1">IF(ISNUMBER(_xll.BDH($O14,$Q$4,AV$5)),
   _xll.BDH($O14,$Q$4,AV$5),
   LOOKUP(2, 1/(ISNUMBER(AS14:AU14)), AS14:AU14))</f>
        <v>-9.5000000000000001E-2</v>
      </c>
      <c r="AW14" cm="1">
        <f t="array" aca="1" ref="AW14" ca="1">IF(ISNUMBER(_xll.BDH($O14,$Q$4,AW$5)),
   _xll.BDH($O14,$Q$4,AW$5),
   LOOKUP(2, 1/(ISNUMBER(AT14:AV14)), AT14:AV14))</f>
        <v>-0.09</v>
      </c>
      <c r="AX14" cm="1">
        <f t="array" aca="1" ref="AX14" ca="1">IF(ISNUMBER(_xll.BDH($O14,$Q$4,AX$5)),
   _xll.BDH($O14,$Q$4,AX$5),
   LOOKUP(2, 1/(ISNUMBER(AU14:AW14)), AU14:AW14))</f>
        <v>-0.105</v>
      </c>
      <c r="AY14" cm="1">
        <f t="array" aca="1" ref="AY14" ca="1">IF(ISNUMBER(_xll.BDH($O14,$Q$4,AY$5)),
   _xll.BDH($O14,$Q$4,AY$5),
   LOOKUP(2, 1/(ISNUMBER(AV14:AX14)), AV14:AX14))</f>
        <v>-0.115</v>
      </c>
      <c r="AZ14" cm="1">
        <f t="array" aca="1" ref="AZ14" ca="1">IF(ISNUMBER(_xll.BDH($O14,$Q$4,AZ$5)),
   _xll.BDH($O14,$Q$4,AZ$5),
   LOOKUP(2, 1/(ISNUMBER(AW14:AY14)), AW14:AY14))</f>
        <v>-0.09</v>
      </c>
      <c r="BA14" cm="1">
        <f t="array" aca="1" ref="BA14" ca="1">IF(ISNUMBER(_xll.BDH($O14,$Q$4,BA$5)),
   _xll.BDH($O14,$Q$4,BA$5),
   LOOKUP(2, 1/(ISNUMBER(AX14:AZ14)), AX14:AZ14))</f>
        <v>-0.09</v>
      </c>
      <c r="BB14" cm="1">
        <f t="array" aca="1" ref="BB14" ca="1">IF(ISNUMBER(_xll.BDH($O14,$Q$4,BB$5)),
   _xll.BDH($O14,$Q$4,BB$5),
   LOOKUP(2, 1/(ISNUMBER(AY14:BA14)), AY14:BA14))</f>
        <v>-7.4999999999999997E-2</v>
      </c>
      <c r="BC14" cm="1">
        <f t="array" aca="1" ref="BC14" ca="1">IF(ISNUMBER(_xll.BDH($O14,$Q$4,BC$5)),
   _xll.BDH($O14,$Q$4,BC$5),
   LOOKUP(2, 1/(ISNUMBER(AZ14:BB14)), AZ14:BB14))</f>
        <v>-7.4999999999999997E-2</v>
      </c>
      <c r="BD14">
        <f t="shared" si="3"/>
        <v>-0.09</v>
      </c>
    </row>
    <row r="15" spans="3:56" x14ac:dyDescent="0.25">
      <c r="C15" t="s">
        <v>90</v>
      </c>
      <c r="D15" t="s">
        <v>79</v>
      </c>
      <c r="E15">
        <v>67</v>
      </c>
      <c r="F15">
        <v>96.594999999999999</v>
      </c>
      <c r="G15">
        <v>96.597499999999997</v>
      </c>
      <c r="H15">
        <v>114</v>
      </c>
      <c r="I15">
        <v>2345</v>
      </c>
      <c r="J15">
        <v>96.597499999999997</v>
      </c>
      <c r="K15" t="s">
        <v>108</v>
      </c>
      <c r="L15" s="6" t="s">
        <v>27</v>
      </c>
      <c r="O15" t="str">
        <f t="shared" si="1"/>
        <v>SFR1YM7 comdty</v>
      </c>
      <c r="Y15" s="2"/>
      <c r="Z15" s="2"/>
      <c r="AA15" s="2"/>
      <c r="AC15">
        <f t="shared" ca="1" si="4"/>
        <v>96.524374999999978</v>
      </c>
      <c r="AD15">
        <f t="shared" ca="1" si="5"/>
        <v>6.587333963751775E-2</v>
      </c>
      <c r="AE15">
        <f t="shared" ca="1" si="2"/>
        <v>1.1100849054018642</v>
      </c>
      <c r="AG15" cm="1">
        <f t="array" aca="1" ref="AG15" ca="1">_xll.BDH($O15,$Q$4,AG$5)</f>
        <v>96.537499999999994</v>
      </c>
      <c r="AH15" cm="1">
        <f t="array" aca="1" ref="AH15" ca="1">_xll.BDH($O15,$Q$4,AH$5)</f>
        <v>96.45</v>
      </c>
      <c r="AI15" cm="1">
        <f t="array" aca="1" ref="AI15" ca="1">_xll.BDH($O15,$Q$4,AI$5)</f>
        <v>96.54</v>
      </c>
      <c r="AJ15" cm="1">
        <f t="array" aca="1" ref="AJ15" ca="1">IF(ISNUMBER(_xll.BDH($O15,$Q$4,AJ$5)),
   _xll.BDH($O15,$Q$4,AJ$5),
   LOOKUP(2, 1/(ISNUMBER(AG15:AI15)), AG15:AI15))</f>
        <v>96.427499999999995</v>
      </c>
      <c r="AK15" cm="1">
        <f t="array" aca="1" ref="AK15" ca="1">IF(ISNUMBER(_xll.BDH($O15,$Q$4,AK$5)),
   _xll.BDH($O15,$Q$4,AK$5),
   LOOKUP(2, 1/(ISNUMBER(AH15:AJ15)), AH15:AJ15))</f>
        <v>96.492500000000007</v>
      </c>
      <c r="AL15" cm="1">
        <f t="array" aca="1" ref="AL15" ca="1">IF(ISNUMBER(_xll.BDH($O15,$Q$4,AL$5)),
   _xll.BDH($O15,$Q$4,AL$5),
   LOOKUP(2, 1/(ISNUMBER(AI15:AK15)), AI15:AK15))</f>
        <v>96.367500000000007</v>
      </c>
      <c r="AM15" cm="1">
        <f t="array" aca="1" ref="AM15" ca="1">IF(ISNUMBER(_xll.BDH($O15,$Q$4,AM$5)),
   _xll.BDH($O15,$Q$4,AM$5),
   LOOKUP(2, 1/(ISNUMBER(AJ15:AL15)), AJ15:AL15))</f>
        <v>96.435000000000002</v>
      </c>
      <c r="AN15" cm="1">
        <f t="array" aca="1" ref="AN15" ca="1">IF(ISNUMBER(_xll.BDH($O15,$Q$4,AN$5)),
   _xll.BDH($O15,$Q$4,AN$5),
   LOOKUP(2, 1/(ISNUMBER(AK15:AM15)), AK15:AM15))</f>
        <v>96.522499999999994</v>
      </c>
      <c r="AO15" cm="1">
        <f t="array" aca="1" ref="AO15" ca="1">IF(ISNUMBER(_xll.BDH($O15,$Q$4,AO$5)),
   _xll.BDH($O15,$Q$4,AO$5),
   LOOKUP(2, 1/(ISNUMBER(AL15:AN15)), AL15:AN15))</f>
        <v>96.542500000000004</v>
      </c>
      <c r="AP15" cm="1">
        <f t="array" aca="1" ref="AP15" ca="1">IF(ISNUMBER(_xll.BDH($O15,$Q$4,AP$5)),
   _xll.BDH($O15,$Q$4,AP$5),
   LOOKUP(2, 1/(ISNUMBER(AM15:AO15)), AM15:AO15))</f>
        <v>96.525000000000006</v>
      </c>
      <c r="AQ15" cm="1">
        <f t="array" aca="1" ref="AQ15" ca="1">IF(ISNUMBER(_xll.BDH($O15,$Q$4,AQ$5)),
   _xll.BDH($O15,$Q$4,AQ$5),
   LOOKUP(2, 1/(ISNUMBER(AN15:AP15)), AN15:AP15))</f>
        <v>96.525000000000006</v>
      </c>
      <c r="AR15" cm="1">
        <f t="array" aca="1" ref="AR15" ca="1">IF(ISNUMBER(_xll.BDH($O15,$Q$4,AR$5)),
   _xll.BDH($O15,$Q$4,AR$5),
   LOOKUP(2, 1/(ISNUMBER(AO15:AQ15)), AO15:AQ15))</f>
        <v>96.47</v>
      </c>
      <c r="AS15" cm="1">
        <f t="array" aca="1" ref="AS15" ca="1">IF(ISNUMBER(_xll.BDH($O15,$Q$4,AS$5)),
   _xll.BDH($O15,$Q$4,AS$5),
   LOOKUP(2, 1/(ISNUMBER(AP15:AR15)), AP15:AR15))</f>
        <v>96.482500000000002</v>
      </c>
      <c r="AT15" cm="1">
        <f t="array" aca="1" ref="AT15" ca="1">IF(ISNUMBER(_xll.BDH($O15,$Q$4,AT$5)),
   _xll.BDH($O15,$Q$4,AT$5),
   LOOKUP(2, 1/(ISNUMBER(AQ15:AS15)), AQ15:AS15))</f>
        <v>96.492500000000007</v>
      </c>
      <c r="AU15" cm="1">
        <f t="array" aca="1" ref="AU15" ca="1">IF(ISNUMBER(_xll.BDH($O15,$Q$4,AU$5)),
   _xll.BDH($O15,$Q$4,AU$5),
   LOOKUP(2, 1/(ISNUMBER(AR15:AT15)), AR15:AT15))</f>
        <v>96.552499999999995</v>
      </c>
      <c r="AV15" cm="1">
        <f t="array" aca="1" ref="AV15" ca="1">IF(ISNUMBER(_xll.BDH($O15,$Q$4,AV$5)),
   _xll.BDH($O15,$Q$4,AV$5),
   LOOKUP(2, 1/(ISNUMBER(AS15:AU15)), AS15:AU15))</f>
        <v>96.557500000000005</v>
      </c>
      <c r="AW15" cm="1">
        <f t="array" aca="1" ref="AW15" ca="1">IF(ISNUMBER(_xll.BDH($O15,$Q$4,AW$5)),
   _xll.BDH($O15,$Q$4,AW$5),
   LOOKUP(2, 1/(ISNUMBER(AT15:AV15)), AT15:AV15))</f>
        <v>96.537499999999994</v>
      </c>
      <c r="AX15" cm="1">
        <f t="array" aca="1" ref="AX15" ca="1">IF(ISNUMBER(_xll.BDH($O15,$Q$4,AX$5)),
   _xll.BDH($O15,$Q$4,AX$5),
   LOOKUP(2, 1/(ISNUMBER(AU15:AW15)), AU15:AW15))</f>
        <v>96.5625</v>
      </c>
      <c r="AY15" cm="1">
        <f t="array" aca="1" ref="AY15" ca="1">IF(ISNUMBER(_xll.BDH($O15,$Q$4,AY$5)),
   _xll.BDH($O15,$Q$4,AY$5),
   LOOKUP(2, 1/(ISNUMBER(AV15:AX15)), AV15:AX15))</f>
        <v>96.6</v>
      </c>
      <c r="AZ15" cm="1">
        <f t="array" aca="1" ref="AZ15" ca="1">IF(ISNUMBER(_xll.BDH($O15,$Q$4,AZ$5)),
   _xll.BDH($O15,$Q$4,AZ$5),
   LOOKUP(2, 1/(ISNUMBER(AW15:AY15)), AW15:AY15))</f>
        <v>96.572500000000005</v>
      </c>
      <c r="BA15" cm="1">
        <f t="array" aca="1" ref="BA15" ca="1">IF(ISNUMBER(_xll.BDH($O15,$Q$4,BA$5)),
   _xll.BDH($O15,$Q$4,BA$5),
   LOOKUP(2, 1/(ISNUMBER(AX15:AZ15)), AX15:AZ15))</f>
        <v>96.547499999999999</v>
      </c>
      <c r="BB15" cm="1">
        <f t="array" aca="1" ref="BB15" ca="1">IF(ISNUMBER(_xll.BDH($O15,$Q$4,BB$5)),
   _xll.BDH($O15,$Q$4,BB$5),
   LOOKUP(2, 1/(ISNUMBER(AY15:BA15)), AY15:BA15))</f>
        <v>96.642499999999998</v>
      </c>
      <c r="BC15" cm="1">
        <f t="array" aca="1" ref="BC15" ca="1">IF(ISNUMBER(_xll.BDH($O15,$Q$4,BC$5)),
   _xll.BDH($O15,$Q$4,BC$5),
   LOOKUP(2, 1/(ISNUMBER(AZ15:BB15)), AZ15:BB15))</f>
        <v>96.632499999999993</v>
      </c>
      <c r="BD15">
        <f t="shared" si="3"/>
        <v>96.597499999999997</v>
      </c>
    </row>
    <row r="16" spans="3:56" x14ac:dyDescent="0.25">
      <c r="C16" t="s">
        <v>28</v>
      </c>
      <c r="D16" t="s">
        <v>29</v>
      </c>
      <c r="E16">
        <v>120587</v>
      </c>
      <c r="F16">
        <v>-37</v>
      </c>
      <c r="G16">
        <v>-36</v>
      </c>
      <c r="H16">
        <v>123261</v>
      </c>
      <c r="I16">
        <v>7103</v>
      </c>
      <c r="J16">
        <v>-36.5</v>
      </c>
      <c r="K16" t="s">
        <v>30</v>
      </c>
      <c r="L16" s="6" t="s">
        <v>23</v>
      </c>
      <c r="O16" t="str">
        <f t="shared" si="1"/>
        <v>SFRM6Z6 comdty</v>
      </c>
      <c r="Y16" s="2"/>
      <c r="Z16" s="2"/>
      <c r="AA16" s="2"/>
      <c r="AC16">
        <f t="shared" ca="1" si="4"/>
        <v>-2.9250000000000005E-2</v>
      </c>
      <c r="AD16">
        <f t="shared" ca="1" si="5"/>
        <v>5.7906713773102338E-2</v>
      </c>
      <c r="AE16">
        <f t="shared" ca="1" si="2"/>
        <v>-1.1354469234367237</v>
      </c>
      <c r="AG16" cm="1">
        <f t="array" aca="1" ref="AG16" ca="1">_xll.BDH($O16,$Q$4,AG$5)</f>
        <v>-0.05</v>
      </c>
      <c r="AH16" cm="1">
        <f t="array" aca="1" ref="AH16" ca="1">_xll.BDH($O16,$Q$4,AH$5)</f>
        <v>3.5000000000000003E-2</v>
      </c>
      <c r="AI16" t="str" cm="1">
        <f t="array" aca="1" ref="AI16" ca="1">_xll.BDH($O16,$Q$4,AI$5)</f>
        <v>#N/A N/A</v>
      </c>
      <c r="AJ16" cm="1">
        <f t="array" aca="1" ref="AJ16" ca="1">IF(ISNUMBER(_xll.BDH($O16,$Q$4,AJ$5)),
   _xll.BDH($O16,$Q$4,AJ$5),
   LOOKUP(2, 1/(ISNUMBER(AG16:AI16)), AG16:AI16))</f>
        <v>4.4999999999999998E-2</v>
      </c>
      <c r="AK16" cm="1">
        <f t="array" aca="1" ref="AK16" ca="1">IF(ISNUMBER(_xll.BDH($O16,$Q$4,AK$5)),
   _xll.BDH($O16,$Q$4,AK$5),
   LOOKUP(2, 1/(ISNUMBER(AH16:AJ16)), AH16:AJ16))</f>
        <v>0.03</v>
      </c>
      <c r="AL16" cm="1">
        <f t="array" aca="1" ref="AL16" ca="1">IF(ISNUMBER(_xll.BDH($O16,$Q$4,AL$5)),
   _xll.BDH($O16,$Q$4,AL$5),
   LOOKUP(2, 1/(ISNUMBER(AI16:AK16)), AI16:AK16))</f>
        <v>0.11</v>
      </c>
      <c r="AM16" cm="1">
        <f t="array" aca="1" ref="AM16" ca="1">IF(ISNUMBER(_xll.BDH($O16,$Q$4,AM$5)),
   _xll.BDH($O16,$Q$4,AM$5),
   LOOKUP(2, 1/(ISNUMBER(AJ16:AL16)), AJ16:AL16))</f>
        <v>0.06</v>
      </c>
      <c r="AN16" cm="1">
        <f t="array" aca="1" ref="AN16" ca="1">IF(ISNUMBER(_xll.BDH($O16,$Q$4,AN$5)),
   _xll.BDH($O16,$Q$4,AN$5),
   LOOKUP(2, 1/(ISNUMBER(AK16:AM16)), AK16:AM16))</f>
        <v>-0.01</v>
      </c>
      <c r="AO16" cm="1">
        <f t="array" aca="1" ref="AO16" ca="1">IF(ISNUMBER(_xll.BDH($O16,$Q$4,AO$5)),
   _xll.BDH($O16,$Q$4,AO$5),
   LOOKUP(2, 1/(ISNUMBER(AL16:AN16)), AL16:AN16))</f>
        <v>-3.5000000000000003E-2</v>
      </c>
      <c r="AP16" cm="1">
        <f t="array" aca="1" ref="AP16" ca="1">IF(ISNUMBER(_xll.BDH($O16,$Q$4,AP$5)),
   _xll.BDH($O16,$Q$4,AP$5),
   LOOKUP(2, 1/(ISNUMBER(AM16:AO16)), AM16:AO16))</f>
        <v>-4.4999999999999998E-2</v>
      </c>
      <c r="AQ16" cm="1">
        <f t="array" aca="1" ref="AQ16" ca="1">IF(ISNUMBER(_xll.BDH($O16,$Q$4,AQ$5)),
   _xll.BDH($O16,$Q$4,AQ$5),
   LOOKUP(2, 1/(ISNUMBER(AN16:AP16)), AN16:AP16))</f>
        <v>-3.5000000000000003E-2</v>
      </c>
      <c r="AR16" cm="1">
        <f t="array" aca="1" ref="AR16" ca="1">IF(ISNUMBER(_xll.BDH($O16,$Q$4,AR$5)),
   _xll.BDH($O16,$Q$4,AR$5),
   LOOKUP(2, 1/(ISNUMBER(AO16:AQ16)), AO16:AQ16))</f>
        <v>0.01</v>
      </c>
      <c r="AS16" cm="1">
        <f t="array" aca="1" ref="AS16" ca="1">IF(ISNUMBER(_xll.BDH($O16,$Q$4,AS$5)),
   _xll.BDH($O16,$Q$4,AS$5),
   LOOKUP(2, 1/(ISNUMBER(AP16:AR16)), AP16:AR16))</f>
        <v>1.4999999999999999E-2</v>
      </c>
      <c r="AT16" cm="1">
        <f t="array" aca="1" ref="AT16" ca="1">IF(ISNUMBER(_xll.BDH($O16,$Q$4,AT$5)),
   _xll.BDH($O16,$Q$4,AT$5),
   LOOKUP(2, 1/(ISNUMBER(AQ16:AS16)), AQ16:AS16))</f>
        <v>-3.5000000000000003E-2</v>
      </c>
      <c r="AU16" cm="1">
        <f t="array" aca="1" ref="AU16" ca="1">IF(ISNUMBER(_xll.BDH($O16,$Q$4,AU$5)),
   _xll.BDH($O16,$Q$4,AU$5),
   LOOKUP(2, 1/(ISNUMBER(AR16:AT16)), AR16:AT16))</f>
        <v>-0.05</v>
      </c>
      <c r="AV16" cm="1">
        <f t="array" aca="1" ref="AV16" ca="1">IF(ISNUMBER(_xll.BDH($O16,$Q$4,AV$5)),
   _xll.BDH($O16,$Q$4,AV$5),
   LOOKUP(2, 1/(ISNUMBER(AS16:AU16)), AS16:AU16))</f>
        <v>-7.0000000000000007E-2</v>
      </c>
      <c r="AW16" cm="1">
        <f t="array" aca="1" ref="AW16" ca="1">IF(ISNUMBER(_xll.BDH($O16,$Q$4,AW$5)),
   _xll.BDH($O16,$Q$4,AW$5),
   LOOKUP(2, 1/(ISNUMBER(AT16:AV16)), AT16:AV16))</f>
        <v>-0.05</v>
      </c>
      <c r="AX16" cm="1">
        <f t="array" aca="1" ref="AX16" ca="1">IF(ISNUMBER(_xll.BDH($O16,$Q$4,AX$5)),
   _xll.BDH($O16,$Q$4,AX$5),
   LOOKUP(2, 1/(ISNUMBER(AU16:AW16)), AU16:AW16))</f>
        <v>-6.5000000000000002E-2</v>
      </c>
      <c r="AY16" cm="1">
        <f t="array" aca="1" ref="AY16" ca="1">IF(ISNUMBER(_xll.BDH($O16,$Q$4,AY$5)),
   _xll.BDH($O16,$Q$4,AY$5),
   LOOKUP(2, 1/(ISNUMBER(AV16:AX16)), AV16:AX16))</f>
        <v>-8.5000000000000006E-2</v>
      </c>
      <c r="AZ16" cm="1">
        <f t="array" aca="1" ref="AZ16" ca="1">IF(ISNUMBER(_xll.BDH($O16,$Q$4,AZ$5)),
   _xll.BDH($O16,$Q$4,AZ$5),
   LOOKUP(2, 1/(ISNUMBER(AW16:AY16)), AW16:AY16))</f>
        <v>-7.4999999999999997E-2</v>
      </c>
      <c r="BA16" cm="1">
        <f t="array" aca="1" ref="BA16" ca="1">IF(ISNUMBER(_xll.BDH($O16,$Q$4,BA$5)),
   _xll.BDH($O16,$Q$4,BA$5),
   LOOKUP(2, 1/(ISNUMBER(AX16:AZ16)), AX16:AZ16))</f>
        <v>-0.06</v>
      </c>
      <c r="BB16" cm="1">
        <f t="array" aca="1" ref="BB16" ca="1">IF(ISNUMBER(_xll.BDH($O16,$Q$4,BB$5)),
   _xll.BDH($O16,$Q$4,BB$5),
   LOOKUP(2, 1/(ISNUMBER(AY16:BA16)), AY16:BA16))</f>
        <v>-0.125</v>
      </c>
      <c r="BC16" cm="1">
        <f t="array" aca="1" ref="BC16" ca="1">IF(ISNUMBER(_xll.BDH($O16,$Q$4,BC$5)),
   _xll.BDH($O16,$Q$4,BC$5),
   LOOKUP(2, 1/(ISNUMBER(AZ16:BB16)), AZ16:BB16))</f>
        <v>-0.115</v>
      </c>
      <c r="BD16">
        <f>D37</f>
        <v>-9.5000000000000001E-2</v>
      </c>
    </row>
    <row r="17" spans="1:56" x14ac:dyDescent="0.25">
      <c r="C17" t="s">
        <v>31</v>
      </c>
      <c r="D17" t="s">
        <v>32</v>
      </c>
      <c r="E17">
        <v>36</v>
      </c>
      <c r="F17">
        <v>15</v>
      </c>
      <c r="G17">
        <v>15.5</v>
      </c>
      <c r="H17">
        <v>3106</v>
      </c>
      <c r="I17">
        <v>6857</v>
      </c>
      <c r="J17">
        <v>14.5</v>
      </c>
      <c r="K17" t="s">
        <v>33</v>
      </c>
      <c r="L17" s="6" t="s">
        <v>23</v>
      </c>
      <c r="O17" t="str">
        <f t="shared" si="1"/>
        <v>SFRZ6Z8 comdty</v>
      </c>
      <c r="AG17" cm="1">
        <f t="array" aca="1" ref="AG17" ca="1">_xll.BDH($O17,$Q$4,AG$5)</f>
        <v>-0.21</v>
      </c>
      <c r="AH17" cm="1">
        <f t="array" aca="1" ref="AH17" ca="1">_xll.BDH($O17,$Q$4,AH$5)</f>
        <v>-0.255</v>
      </c>
      <c r="AI17" cm="1">
        <f t="array" aca="1" ref="AI17" ca="1">_xll.BDH($O17,$Q$4,AI$5)</f>
        <v>-0.18</v>
      </c>
      <c r="AJ17" cm="1">
        <f t="array" aca="1" ref="AJ17" ca="1">IF(ISNUMBER(_xll.BDH($O17,$Q$4,AJ$5)),
   _xll.BDH($O17,$Q$4,AJ$5),
   LOOKUP(2, 1/(ISNUMBER(AG17:AI17)), AG17:AI17))</f>
        <v>-0.245</v>
      </c>
      <c r="AK17" cm="1">
        <f t="array" aca="1" ref="AK17" ca="1">IF(ISNUMBER(_xll.BDH($O17,$Q$4,AK$5)),
   _xll.BDH($O17,$Q$4,AK$5),
   LOOKUP(2, 1/(ISNUMBER(AH17:AJ17)), AH17:AJ17))</f>
        <v>-0.23499999999999999</v>
      </c>
      <c r="AL17" cm="1">
        <f t="array" aca="1" ref="AL17" ca="1">IF(ISNUMBER(_xll.BDH($O17,$Q$4,AL$5)),
   _xll.BDH($O17,$Q$4,AL$5),
   LOOKUP(2, 1/(ISNUMBER(AI17:AK17)), AI17:AK17))</f>
        <v>-0.255</v>
      </c>
      <c r="AM17" cm="1">
        <f t="array" aca="1" ref="AM17" ca="1">IF(ISNUMBER(_xll.BDH($O17,$Q$4,AM$5)),
   _xll.BDH($O17,$Q$4,AM$5),
   LOOKUP(2, 1/(ISNUMBER(AJ17:AL17)), AJ17:AL17))</f>
        <v>-0.16</v>
      </c>
      <c r="AN17" cm="1">
        <f t="array" aca="1" ref="AN17" ca="1">IF(ISNUMBER(_xll.BDH($O17,$Q$4,AN$5)),
   _xll.BDH($O17,$Q$4,AN$5),
   LOOKUP(2, 1/(ISNUMBER(AK17:AM17)), AK17:AM17))</f>
        <v>-0.13500000000000001</v>
      </c>
      <c r="AO17" cm="1">
        <f t="array" aca="1" ref="AO17" ca="1">IF(ISNUMBER(_xll.BDH($O17,$Q$4,AO$5)),
   _xll.BDH($O17,$Q$4,AO$5),
   LOOKUP(2, 1/(ISNUMBER(AL17:AN17)), AL17:AN17))</f>
        <v>-0.125</v>
      </c>
      <c r="AP17" cm="1">
        <f t="array" aca="1" ref="AP17" ca="1">IF(ISNUMBER(_xll.BDH($O17,$Q$4,AP$5)),
   _xll.BDH($O17,$Q$4,AP$5),
   LOOKUP(2, 1/(ISNUMBER(AM17:AO17)), AM17:AO17))</f>
        <v>-0.1</v>
      </c>
      <c r="AQ17" cm="1">
        <f t="array" aca="1" ref="AQ17" ca="1">IF(ISNUMBER(_xll.BDH($O17,$Q$4,AQ$5)),
   _xll.BDH($O17,$Q$4,AQ$5),
   LOOKUP(2, 1/(ISNUMBER(AN17:AP17)), AN17:AP17))</f>
        <v>-0.1</v>
      </c>
      <c r="AR17" cm="1">
        <f t="array" aca="1" ref="AR17" ca="1">IF(ISNUMBER(_xll.BDH($O17,$Q$4,AR$5)),
   _xll.BDH($O17,$Q$4,AR$5),
   LOOKUP(2, 1/(ISNUMBER(AO17:AQ17)), AO17:AQ17))</f>
        <v>-0.125</v>
      </c>
      <c r="AS17" cm="1">
        <f t="array" aca="1" ref="AS17" ca="1">IF(ISNUMBER(_xll.BDH($O17,$Q$4,AS$5)),
   _xll.BDH($O17,$Q$4,AS$5),
   LOOKUP(2, 1/(ISNUMBER(AP17:AR17)), AP17:AR17))</f>
        <v>-0.14499999999999999</v>
      </c>
      <c r="AT17" cm="1">
        <f t="array" aca="1" ref="AT17" ca="1">IF(ISNUMBER(_xll.BDH($O17,$Q$4,AT$5)),
   _xll.BDH($O17,$Q$4,AT$5),
   LOOKUP(2, 1/(ISNUMBER(AQ17:AS17)), AQ17:AS17))</f>
        <v>-0.125</v>
      </c>
      <c r="AU17" cm="1">
        <f t="array" aca="1" ref="AU17" ca="1">IF(ISNUMBER(_xll.BDH($O17,$Q$4,AU$5)),
   _xll.BDH($O17,$Q$4,AU$5),
   LOOKUP(2, 1/(ISNUMBER(AR17:AT17)), AR17:AT17))</f>
        <v>-0.13500000000000001</v>
      </c>
      <c r="AV17" cm="1">
        <f t="array" aca="1" ref="AV17" ca="1">IF(ISNUMBER(_xll.BDH($O17,$Q$4,AV$5)),
   _xll.BDH($O17,$Q$4,AV$5),
   LOOKUP(2, 1/(ISNUMBER(AS17:AU17)), AS17:AU17))</f>
        <v>-0.13</v>
      </c>
      <c r="AW17" cm="1">
        <f t="array" aca="1" ref="AW17" ca="1">IF(ISNUMBER(_xll.BDH($O17,$Q$4,AW$5)),
   _xll.BDH($O17,$Q$4,AW$5),
   LOOKUP(2, 1/(ISNUMBER(AT17:AV17)), AT17:AV17))</f>
        <v>-0.11</v>
      </c>
      <c r="AX17" cm="1">
        <f t="array" aca="1" ref="AX17" ca="1">IF(ISNUMBER(_xll.BDH($O17,$Q$4,AX$5)),
   _xll.BDH($O17,$Q$4,AX$5),
   LOOKUP(2, 1/(ISNUMBER(AU17:AW17)), AU17:AW17))</f>
        <v>-0.125</v>
      </c>
      <c r="AY17" cm="1">
        <f t="array" aca="1" ref="AY17" ca="1">IF(ISNUMBER(_xll.BDH($O17,$Q$4,AY$5)),
   _xll.BDH($O17,$Q$4,AY$5),
   LOOKUP(2, 1/(ISNUMBER(AV17:AX17)), AV17:AX17))</f>
        <v>-0.14499999999999999</v>
      </c>
      <c r="AZ17" cm="1">
        <f t="array" aca="1" ref="AZ17" ca="1">IF(ISNUMBER(_xll.BDH($O17,$Q$4,AZ$5)),
   _xll.BDH($O17,$Q$4,AZ$5),
   LOOKUP(2, 1/(ISNUMBER(AW17:AY17)), AW17:AY17))</f>
        <v>-0.115</v>
      </c>
      <c r="BA17" cm="1">
        <f t="array" aca="1" ref="BA17" ca="1">IF(ISNUMBER(_xll.BDH($O17,$Q$4,BA$5)),
   _xll.BDH($O17,$Q$4,BA$5),
   LOOKUP(2, 1/(ISNUMBER(AX17:AZ17)), AX17:AZ17))</f>
        <v>-9.5000000000000001E-2</v>
      </c>
      <c r="BB17" cm="1">
        <f t="array" aca="1" ref="BB17" ca="1">IF(ISNUMBER(_xll.BDH($O17,$Q$4,BB$5)),
   _xll.BDH($O17,$Q$4,BB$5),
   LOOKUP(2, 1/(ISNUMBER(AY17:BA17)), AY17:BA17))</f>
        <v>-0.09</v>
      </c>
      <c r="BC17" cm="1">
        <f t="array" aca="1" ref="BC17" ca="1">IF(ISNUMBER(_xll.BDH($O17,$Q$4,BC$5)),
   _xll.BDH($O17,$Q$4,BC$5),
   LOOKUP(2, 1/(ISNUMBER(AZ17:BB17)), AZ17:BB17))</f>
        <v>-9.5000000000000001E-2</v>
      </c>
      <c r="BD17">
        <f>Q17</f>
        <v>0</v>
      </c>
    </row>
    <row r="18" spans="1:56" x14ac:dyDescent="0.25">
      <c r="C18" t="s">
        <v>34</v>
      </c>
      <c r="D18" t="s">
        <v>35</v>
      </c>
      <c r="E18">
        <v>14844</v>
      </c>
      <c r="F18">
        <v>-42.5</v>
      </c>
      <c r="G18">
        <v>-42</v>
      </c>
      <c r="H18">
        <v>318</v>
      </c>
      <c r="I18">
        <v>6813</v>
      </c>
      <c r="J18">
        <v>-42</v>
      </c>
      <c r="K18" t="s">
        <v>36</v>
      </c>
      <c r="L18" s="6" t="s">
        <v>23</v>
      </c>
      <c r="O18" t="str">
        <f t="shared" si="1"/>
        <v>SFRM6H7 comdty</v>
      </c>
      <c r="AG18" cm="1">
        <f t="array" aca="1" ref="AG18" ca="1">_xll.BDH($O18,$Q$4,AG$5)</f>
        <v>-8.5000000000000006E-2</v>
      </c>
      <c r="AH18" cm="1">
        <f t="array" aca="1" ref="AH18" ca="1">_xll.BDH($O18,$Q$4,AH$5)</f>
        <v>1.4999999999999999E-2</v>
      </c>
      <c r="AI18" cm="1">
        <f t="array" aca="1" ref="AI18" ca="1">_xll.BDH($O18,$Q$4,AI$5)</f>
        <v>-1.4999999999999999E-2</v>
      </c>
      <c r="AJ18" cm="1">
        <f t="array" aca="1" ref="AJ18" ca="1">IF(ISNUMBER(_xll.BDH($O18,$Q$4,AJ$5)),
   _xll.BDH($O18,$Q$4,AJ$5),
   LOOKUP(2, 1/(ISNUMBER(AG18:AI18)), AG18:AI18))</f>
        <v>0.02</v>
      </c>
      <c r="AK18" cm="1">
        <f t="array" aca="1" ref="AK18" ca="1">IF(ISNUMBER(_xll.BDH($O18,$Q$4,AK$5)),
   _xll.BDH($O18,$Q$4,AK$5),
   LOOKUP(2, 1/(ISNUMBER(AH18:AJ18)), AH18:AJ18))</f>
        <v>0.02</v>
      </c>
      <c r="AL18" cm="1">
        <f t="array" aca="1" ref="AL18" ca="1">IF(ISNUMBER(_xll.BDH($O18,$Q$4,AL$5)),
   _xll.BDH($O18,$Q$4,AL$5),
   LOOKUP(2, 1/(ISNUMBER(AI18:AK18)), AI18:AK18))</f>
        <v>9.5000000000000001E-2</v>
      </c>
      <c r="AM18" cm="1">
        <f t="array" aca="1" ref="AM18" ca="1">IF(ISNUMBER(_xll.BDH($O18,$Q$4,AM$5)),
   _xll.BDH($O18,$Q$4,AM$5),
   LOOKUP(2, 1/(ISNUMBER(AJ18:AL18)), AJ18:AL18))</f>
        <v>0.05</v>
      </c>
      <c r="AN18" cm="1">
        <f t="array" aca="1" ref="AN18" ca="1">IF(ISNUMBER(_xll.BDH($O18,$Q$4,AN$5)),
   _xll.BDH($O18,$Q$4,AN$5),
   LOOKUP(2, 1/(ISNUMBER(AK18:AM18)), AK18:AM18))</f>
        <v>-0.03</v>
      </c>
      <c r="AO18" cm="1">
        <f t="array" aca="1" ref="AO18" ca="1">IF(ISNUMBER(_xll.BDH($O18,$Q$4,AO$5)),
   _xll.BDH($O18,$Q$4,AO$5),
   LOOKUP(2, 1/(ISNUMBER(AL18:AN18)), AL18:AN18))</f>
        <v>-0.05</v>
      </c>
      <c r="AP18" cm="1">
        <f t="array" aca="1" ref="AP18" ca="1">IF(ISNUMBER(_xll.BDH($O18,$Q$4,AP$5)),
   _xll.BDH($O18,$Q$4,AP$5),
   LOOKUP(2, 1/(ISNUMBER(AM18:AO18)), AM18:AO18))</f>
        <v>-6.5000000000000002E-2</v>
      </c>
      <c r="AQ18" cm="1">
        <f t="array" aca="1" ref="AQ18" ca="1">IF(ISNUMBER(_xll.BDH($O18,$Q$4,AQ$5)),
   _xll.BDH($O18,$Q$4,AQ$5),
   LOOKUP(2, 1/(ISNUMBER(AN18:AP18)), AN18:AP18))</f>
        <v>-5.5E-2</v>
      </c>
      <c r="AR18" cm="1">
        <f t="array" aca="1" ref="AR18" ca="1">IF(ISNUMBER(_xll.BDH($O18,$Q$4,AR$5)),
   _xll.BDH($O18,$Q$4,AR$5),
   LOOKUP(2, 1/(ISNUMBER(AO18:AQ18)), AO18:AQ18))</f>
        <v>-5.5E-2</v>
      </c>
      <c r="AS18" cm="1">
        <f t="array" aca="1" ref="AS18" ca="1">IF(ISNUMBER(_xll.BDH($O18,$Q$4,AS$5)),
   _xll.BDH($O18,$Q$4,AS$5),
   LOOKUP(2, 1/(ISNUMBER(AP18:AR18)), AP18:AR18))</f>
        <v>-5.0000000000000001E-3</v>
      </c>
      <c r="AT18" cm="1">
        <f t="array" aca="1" ref="AT18" ca="1">IF(ISNUMBER(_xll.BDH($O18,$Q$4,AT$5)),
   _xll.BDH($O18,$Q$4,AT$5),
   LOOKUP(2, 1/(ISNUMBER(AQ18:AS18)), AQ18:AS18))</f>
        <v>-5.5E-2</v>
      </c>
      <c r="AU18" cm="1">
        <f t="array" aca="1" ref="AU18" ca="1">IF(ISNUMBER(_xll.BDH($O18,$Q$4,AU$5)),
   _xll.BDH($O18,$Q$4,AU$5),
   LOOKUP(2, 1/(ISNUMBER(AR18:AT18)), AR18:AT18))</f>
        <v>-0.08</v>
      </c>
      <c r="AV18" cm="1">
        <f t="array" aca="1" ref="AV18" ca="1">IF(ISNUMBER(_xll.BDH($O18,$Q$4,AV$5)),
   _xll.BDH($O18,$Q$4,AV$5),
   LOOKUP(2, 1/(ISNUMBER(AS18:AU18)), AS18:AU18))</f>
        <v>-0.105</v>
      </c>
      <c r="AW18" cm="1">
        <f t="array" aca="1" ref="AW18" ca="1">IF(ISNUMBER(_xll.BDH($O18,$Q$4,AW$5)),
   _xll.BDH($O18,$Q$4,AW$5),
   LOOKUP(2, 1/(ISNUMBER(AT18:AV18)), AT18:AV18))</f>
        <v>-7.4999999999999997E-2</v>
      </c>
      <c r="AX18" cm="1">
        <f t="array" aca="1" ref="AX18" ca="1">IF(ISNUMBER(_xll.BDH($O18,$Q$4,AX$5)),
   _xll.BDH($O18,$Q$4,AX$5),
   LOOKUP(2, 1/(ISNUMBER(AU18:AW18)), AU18:AW18))</f>
        <v>-9.5000000000000001E-2</v>
      </c>
      <c r="AY18" cm="1">
        <f t="array" aca="1" ref="AY18" ca="1">IF(ISNUMBER(_xll.BDH($O18,$Q$4,AY$5)),
   _xll.BDH($O18,$Q$4,AY$5),
   LOOKUP(2, 1/(ISNUMBER(AV18:AX18)), AV18:AX18))</f>
        <v>-0.125</v>
      </c>
      <c r="AZ18" cm="1">
        <f t="array" aca="1" ref="AZ18" ca="1">IF(ISNUMBER(_xll.BDH($O18,$Q$4,AZ$5)),
   _xll.BDH($O18,$Q$4,AZ$5),
   LOOKUP(2, 1/(ISNUMBER(AW18:AY18)), AW18:AY18))</f>
        <v>-0.11</v>
      </c>
      <c r="BA18" cm="1">
        <f t="array" aca="1" ref="BA18" ca="1">IF(ISNUMBER(_xll.BDH($O18,$Q$4,BA$5)),
   _xll.BDH($O18,$Q$4,BA$5),
   LOOKUP(2, 1/(ISNUMBER(AX18:AZ18)), AX18:AZ18))</f>
        <v>-8.5000000000000006E-2</v>
      </c>
      <c r="BB18" cm="1">
        <f t="array" aca="1" ref="BB18" ca="1">IF(ISNUMBER(_xll.BDH($O18,$Q$4,BB$5)),
   _xll.BDH($O18,$Q$4,BB$5),
   LOOKUP(2, 1/(ISNUMBER(AY18:BA18)), AY18:BA18))</f>
        <v>-0.16</v>
      </c>
      <c r="BC18" cm="1">
        <f t="array" aca="1" ref="BC18" ca="1">IF(ISNUMBER(_xll.BDH($O18,$Q$4,BC$5)),
   _xll.BDH($O18,$Q$4,BC$5),
   LOOKUP(2, 1/(ISNUMBER(AZ18:BB18)), AZ18:BB18))</f>
        <v>-0.155</v>
      </c>
      <c r="BD18">
        <f>Q18</f>
        <v>0</v>
      </c>
    </row>
    <row r="19" spans="1:56" x14ac:dyDescent="0.25">
      <c r="C19" t="s">
        <v>24</v>
      </c>
      <c r="D19" t="s">
        <v>25</v>
      </c>
      <c r="E19">
        <v>55677</v>
      </c>
      <c r="F19">
        <v>8.5</v>
      </c>
      <c r="G19">
        <v>9</v>
      </c>
      <c r="H19">
        <v>155379</v>
      </c>
      <c r="I19">
        <v>6750</v>
      </c>
      <c r="J19">
        <v>8.5</v>
      </c>
      <c r="K19" t="s">
        <v>37</v>
      </c>
      <c r="L19" s="6" t="s">
        <v>23</v>
      </c>
    </row>
    <row r="20" spans="1:56" x14ac:dyDescent="0.25">
      <c r="D20" t="s">
        <v>38</v>
      </c>
      <c r="E20">
        <v>122</v>
      </c>
      <c r="F20">
        <v>96.76</v>
      </c>
      <c r="G20">
        <v>96.762500000000003</v>
      </c>
      <c r="H20">
        <v>252</v>
      </c>
      <c r="I20">
        <v>6222</v>
      </c>
      <c r="J20">
        <v>96.762500000000003</v>
      </c>
      <c r="K20" t="s">
        <v>39</v>
      </c>
      <c r="L20" s="6" t="s">
        <v>40</v>
      </c>
    </row>
    <row r="24" spans="1:56" x14ac:dyDescent="0.25">
      <c r="K24" t="s">
        <v>41</v>
      </c>
      <c r="L24" s="6" t="s">
        <v>42</v>
      </c>
      <c r="O24" s="1">
        <f ca="1">WORKDAY(TODAY(),-1)</f>
        <v>46132</v>
      </c>
    </row>
    <row r="25" spans="1:56" x14ac:dyDescent="0.25">
      <c r="O25" s="1"/>
    </row>
    <row r="26" spans="1:56" x14ac:dyDescent="0.25">
      <c r="C26" s="5" t="s">
        <v>3</v>
      </c>
      <c r="D26" s="5" t="s">
        <v>43</v>
      </c>
      <c r="E26" s="5" t="s">
        <v>44</v>
      </c>
      <c r="F26" s="5" t="s">
        <v>45</v>
      </c>
      <c r="G26" s="5" t="s">
        <v>13</v>
      </c>
      <c r="H26" s="5" t="s">
        <v>46</v>
      </c>
      <c r="I26" s="5" t="s">
        <v>9</v>
      </c>
      <c r="J26" s="5" t="s">
        <v>47</v>
      </c>
      <c r="K26" s="5" t="s">
        <v>48</v>
      </c>
      <c r="L26" s="4" t="s">
        <v>49</v>
      </c>
    </row>
    <row r="27" spans="1:56" x14ac:dyDescent="0.25">
      <c r="A27" t="str">
        <f>C27&amp;" comdty"</f>
        <v>SFRM6U6 comdty</v>
      </c>
      <c r="C27" s="5" t="str">
        <f t="shared" ref="C27:C38" si="6">C6</f>
        <v>SFRM6U6</v>
      </c>
      <c r="D27" cm="1">
        <f t="array" ref="D27">_xll.BDP($O6,Q$4)</f>
        <v>-4.4999999999999998E-2</v>
      </c>
      <c r="E27" s="3" cm="1">
        <f t="array" aca="1" ref="E27" ca="1">((G27+H27)/2) - (_xll.BDH($O6,$Q$4,$O$24))</f>
        <v>1.2499999999999997E-2</v>
      </c>
      <c r="F27" cm="1">
        <f t="array" ref="F27">_xll.BDP($O6,R$4)</f>
        <v>11052</v>
      </c>
      <c r="G27" cm="1">
        <f t="array" ref="G27">_xll.BDP($O6,T$4)</f>
        <v>-0.05</v>
      </c>
      <c r="H27" cm="1">
        <f t="array" ref="H27">_xll.BDP($O6,U$4)</f>
        <v>-4.4999999999999998E-2</v>
      </c>
      <c r="I27" s="2">
        <f t="shared" ref="I27:I38" ca="1" si="7">AE6</f>
        <v>-1.2329262908243535</v>
      </c>
      <c r="J27" s="2"/>
      <c r="K27" cm="1">
        <f t="array" ref="K27">_xll.BDP($A27,K$24)</f>
        <v>5.0000001676380634E-2</v>
      </c>
      <c r="L27" s="6" cm="1">
        <f t="array" ref="L27">_xll.BDP($A27,L$24)</f>
        <v>20947.5</v>
      </c>
    </row>
    <row r="28" spans="1:56" x14ac:dyDescent="0.25">
      <c r="A28" t="str">
        <f t="shared" ref="A28:A37" si="8">C28&amp;" comdty"</f>
        <v>SFRZ6H7 comdty</v>
      </c>
      <c r="C28" s="5" t="str">
        <f t="shared" si="6"/>
        <v>SFRZ6H7</v>
      </c>
      <c r="D28" cm="1">
        <f t="array" ref="D28">_xll.BDP($O7,Q$4)</f>
        <v>-3.5000000000000003E-2</v>
      </c>
      <c r="E28" s="3" cm="1">
        <f t="array" aca="1" ref="E28" ca="1">((G28+H28)/2) - (_xll.BDH($O7,$Q$4,$O$24))</f>
        <v>2.4999999999999953E-3</v>
      </c>
      <c r="F28" cm="1">
        <f t="array" ref="F28">_xll.BDP($O7,R$4)</f>
        <v>5048</v>
      </c>
      <c r="G28" cm="1">
        <f t="array" ref="G28">_xll.BDP($O7,T$4)</f>
        <v>-0.04</v>
      </c>
      <c r="H28" cm="1">
        <f t="array" ref="H28">_xll.BDP($O7,U$4)</f>
        <v>-3.5000000000000003E-2</v>
      </c>
      <c r="I28" s="2">
        <f t="shared" ca="1" si="7"/>
        <v>-1.1555872593446246</v>
      </c>
      <c r="J28" s="2"/>
      <c r="K28" cm="1">
        <f t="array" ref="K28">_xll.BDP(A28,K$24)</f>
        <v>-1.0000001639127731E-2</v>
      </c>
      <c r="L28" s="6" cm="1">
        <f t="array" ref="L28">_xll.BDP($A28,L$24)</f>
        <v>33144.050000000003</v>
      </c>
    </row>
    <row r="29" spans="1:56" x14ac:dyDescent="0.25">
      <c r="A29" t="str">
        <f t="shared" si="8"/>
        <v>SFR1YM6 comdty</v>
      </c>
      <c r="C29" s="5" t="str">
        <f t="shared" si="6"/>
        <v>SFR1YM6</v>
      </c>
      <c r="D29" cm="1">
        <f t="array" ref="D29">_xll.BDP($O8,Q$4)</f>
        <v>96.405000000000001</v>
      </c>
      <c r="E29" s="3" cm="1">
        <f t="array" aca="1" ref="E29" ca="1">((G29+H29)/2) - (_xll.BDH($O8,$Q$4,$O$24))</f>
        <v>-2.374999999999261E-2</v>
      </c>
      <c r="F29" cm="1">
        <f t="array" ref="F29">_xll.BDP($O8,R$4)</f>
        <v>6440</v>
      </c>
      <c r="G29" cm="1">
        <f t="array" ref="G29">_xll.BDP($O8,T$4)</f>
        <v>96.402500000000003</v>
      </c>
      <c r="H29" cm="1">
        <f t="array" ref="H29">_xll.BDP($O8,U$4)</f>
        <v>96.405000000000001</v>
      </c>
      <c r="I29" s="2">
        <f t="shared" ca="1" si="7"/>
        <v>1.0658207586048887</v>
      </c>
      <c r="J29" s="2"/>
      <c r="K29" t="str" cm="1">
        <f t="array" ref="K29">_xll.BDP(A29,K$24)</f>
        <v>#N/A Field Not Applicable</v>
      </c>
      <c r="L29" s="6" cm="1">
        <f t="array" ref="L29">_xll.BDP($A29,L$24)</f>
        <v>41984</v>
      </c>
    </row>
    <row r="30" spans="1:56" x14ac:dyDescent="0.25">
      <c r="A30" t="str">
        <f t="shared" si="8"/>
        <v>SFRZ6M7 comdty</v>
      </c>
      <c r="C30" s="5" t="str">
        <f t="shared" si="6"/>
        <v>SFRZ6M7</v>
      </c>
      <c r="D30" cm="1">
        <f t="array" ref="D30">_xll.BDP($O9,Q$4)</f>
        <v>-0.09</v>
      </c>
      <c r="E30" s="3" cm="1">
        <f t="array" aca="1" ref="E30" ca="1">((G30+H30)/2) - (_xll.BDH($O9,$Q$4,$O$24))</f>
        <v>7.5000000000000067E-3</v>
      </c>
      <c r="F30" cm="1">
        <f t="array" ref="F30">_xll.BDP($O9,R$4)</f>
        <v>5114</v>
      </c>
      <c r="G30" cm="1">
        <f t="array" ref="G30">_xll.BDP($O9,T$4)</f>
        <v>-0.09</v>
      </c>
      <c r="H30" cm="1">
        <f t="array" ref="H30">_xll.BDP($O9,U$4)</f>
        <v>-8.5000000000000006E-2</v>
      </c>
      <c r="I30" s="2">
        <f t="shared" ca="1" si="7"/>
        <v>-0.19841894753313663</v>
      </c>
      <c r="J30" s="2"/>
      <c r="K30" cm="1">
        <f t="array" ref="K30">_xll.BDP(A30,K$24)</f>
        <v>1.000000536441803E-2</v>
      </c>
      <c r="L30" s="6" cm="1">
        <f t="array" ref="L30">_xll.BDP($A30,L$24)</f>
        <v>18055.400000000001</v>
      </c>
    </row>
    <row r="31" spans="1:56" x14ac:dyDescent="0.25">
      <c r="A31" t="str">
        <f t="shared" si="8"/>
        <v>SFRM6Z6 comdty</v>
      </c>
      <c r="C31" s="5" t="str">
        <f t="shared" si="6"/>
        <v>SFRM6Z6</v>
      </c>
      <c r="D31" cm="1">
        <f t="array" ref="D31">_xll.BDP($O10,Q$4)</f>
        <v>-9.5000000000000001E-2</v>
      </c>
      <c r="E31" s="3" cm="1">
        <f t="array" aca="1" ref="E31" ca="1">((G31+H31)/2) - (_xll.BDH($O10,$Q$4,$O$24))</f>
        <v>1.7500000000000002E-2</v>
      </c>
      <c r="F31" cm="1">
        <f t="array" ref="F31">_xll.BDP($O10,R$4)</f>
        <v>4529</v>
      </c>
      <c r="G31" cm="1">
        <f t="array" ref="G31">_xll.BDP($O10,T$4)</f>
        <v>-0.1</v>
      </c>
      <c r="H31" cm="1">
        <f t="array" ref="H31">_xll.BDP($O10,U$4)</f>
        <v>-9.5000000000000001E-2</v>
      </c>
      <c r="I31" s="2">
        <f t="shared" ca="1" si="7"/>
        <v>-1.1354469234367237</v>
      </c>
      <c r="J31" s="2"/>
      <c r="K31" cm="1">
        <f t="array" ref="K31">_xll.BDP(A31,K$24)</f>
        <v>4.9999997019767761E-2</v>
      </c>
      <c r="L31" s="6" cm="1">
        <f t="array" ref="L31">_xll.BDP($A31,L$24)</f>
        <v>23084.85</v>
      </c>
    </row>
    <row r="32" spans="1:56" x14ac:dyDescent="0.25">
      <c r="A32" t="str">
        <f t="shared" si="8"/>
        <v>SFR2YM6 comdty</v>
      </c>
      <c r="C32" s="5" t="str">
        <f t="shared" si="6"/>
        <v>SFR2YM6</v>
      </c>
      <c r="D32" cm="1">
        <f t="array" ref="D32">_xll.BDP($O11,Q$4)</f>
        <v>96.5</v>
      </c>
      <c r="E32" s="3" cm="1">
        <f t="array" aca="1" ref="E32" ca="1">((G32+H32)/2) - (_xll.BDH($O11,$Q$4,$O$24))</f>
        <v>-3.125E-2</v>
      </c>
      <c r="F32" cm="1">
        <f t="array" ref="F32">_xll.BDP($O11,R$4)</f>
        <v>4407</v>
      </c>
      <c r="G32" cm="1">
        <f t="array" ref="G32">_xll.BDP($O11,T$4)</f>
        <v>96.497500000000002</v>
      </c>
      <c r="H32" cm="1">
        <f t="array" ref="H32">_xll.BDP($O11,U$4)</f>
        <v>96.5</v>
      </c>
      <c r="I32" s="2">
        <f t="shared" ca="1" si="7"/>
        <v>1.0850391396371697</v>
      </c>
      <c r="J32" s="2"/>
      <c r="K32" t="str" cm="1">
        <f t="array" ref="K32">_xll.BDP(A32,K$24)</f>
        <v>#N/A Field Not Applicable</v>
      </c>
      <c r="L32" s="6" cm="1">
        <f t="array" ref="L32">_xll.BDP($A32,L$24)</f>
        <v>27832.95</v>
      </c>
    </row>
    <row r="33" spans="1:12" x14ac:dyDescent="0.25">
      <c r="A33" t="str">
        <f t="shared" si="8"/>
        <v>SFRZ6Z7 comdty</v>
      </c>
      <c r="C33" s="5" t="str">
        <f t="shared" si="6"/>
        <v>SFRZ6Z7</v>
      </c>
      <c r="D33" cm="1">
        <f t="array" ref="D33">_xll.BDP($O12,Q$4)</f>
        <v>-0.20499999999999999</v>
      </c>
      <c r="E33" s="3" cm="1">
        <f t="array" aca="1" ref="E33" ca="1">((G33+H33)/2) - (_xll.BDH($O12,$Q$4,$O$24))</f>
        <v>-2.5000000000000022E-3</v>
      </c>
      <c r="F33" cm="1">
        <f t="array" ref="F33">_xll.BDP($O12,R$4)</f>
        <v>3255</v>
      </c>
      <c r="G33" cm="1">
        <f t="array" ref="G33">_xll.BDP($O12,T$4)</f>
        <v>-0.20499999999999999</v>
      </c>
      <c r="H33" cm="1">
        <f t="array" ref="H33">_xll.BDP($O12,U$4)</f>
        <v>-0.2</v>
      </c>
      <c r="I33" s="2">
        <f t="shared" ca="1" si="7"/>
        <v>0.66861975647232452</v>
      </c>
      <c r="J33" s="2"/>
      <c r="K33" cm="1">
        <f t="array" ref="K33">_xll.BDP(A33,K$24)</f>
        <v>0</v>
      </c>
      <c r="L33" s="6" cm="1">
        <f t="array" ref="L33">_xll.BDP($A33,L$24)</f>
        <v>26900.7</v>
      </c>
    </row>
    <row r="34" spans="1:12" x14ac:dyDescent="0.25">
      <c r="A34" t="str">
        <f t="shared" si="8"/>
        <v>SFRU6H7 comdty</v>
      </c>
      <c r="C34" s="5" t="str">
        <f t="shared" si="6"/>
        <v>SFRU6H7</v>
      </c>
      <c r="D34" cm="1">
        <f t="array" ref="D34">_xll.BDP($O13,Q$4)</f>
        <v>-0.08</v>
      </c>
      <c r="E34" s="3" cm="1">
        <f t="array" aca="1" ref="E34" ca="1">((G34+H34)/2) - (_xll.BDH($O13,$Q$4,$O$24))</f>
        <v>7.5000000000000067E-3</v>
      </c>
      <c r="F34" cm="1">
        <f t="array" ref="F34">_xll.BDP($O13,R$4)</f>
        <v>2881</v>
      </c>
      <c r="G34" cm="1">
        <f t="array" ref="G34">_xll.BDP($O13,T$4)</f>
        <v>-0.09</v>
      </c>
      <c r="H34" cm="1">
        <f t="array" ref="H34">_xll.BDP($O13,U$4)</f>
        <v>-8.5000000000000006E-2</v>
      </c>
      <c r="I34" s="2">
        <f t="shared" ca="1" si="7"/>
        <v>-0.82037890925036649</v>
      </c>
      <c r="J34" s="2"/>
      <c r="K34" cm="1">
        <f t="array" ref="K34">_xll.BDP(A34,K$24)</f>
        <v>-1.5000000596046448E-2</v>
      </c>
      <c r="L34" s="6" cm="1">
        <f t="array" ref="L34">_xll.BDP($A34,L$24)</f>
        <v>25854.95</v>
      </c>
    </row>
    <row r="35" spans="1:12" x14ac:dyDescent="0.25">
      <c r="A35" t="str">
        <f t="shared" si="8"/>
        <v>SFRM7M8 comdty</v>
      </c>
      <c r="C35" s="5" t="str">
        <f t="shared" si="6"/>
        <v>SFRM7M8</v>
      </c>
      <c r="D35" cm="1">
        <f t="array" ref="D35">_xll.BDP($O14,Q$4)</f>
        <v>-0.09</v>
      </c>
      <c r="E35" s="3" cm="1">
        <f t="array" aca="1" ref="E35" ca="1">((G35+H35)/2) - (_xll.BDH($O14,$Q$4,$O$24))</f>
        <v>-1.2499999999999997E-2</v>
      </c>
      <c r="F35" cm="1">
        <f t="array" ref="F35">_xll.BDP($O14,R$4)</f>
        <v>2509</v>
      </c>
      <c r="G35" cm="1">
        <f t="array" ref="G35">_xll.BDP($O14,T$4)</f>
        <v>-0.09</v>
      </c>
      <c r="H35" cm="1">
        <f t="array" ref="H35">_xll.BDP($O14,U$4)</f>
        <v>-8.5000000000000006E-2</v>
      </c>
      <c r="I35" s="2">
        <f t="shared" ca="1" si="7"/>
        <v>0.69344446398080672</v>
      </c>
      <c r="J35" s="2"/>
      <c r="K35" cm="1">
        <f t="array" ref="K35">_xll.BDP(A35,K$24)</f>
        <v>-7.5000002980232239E-2</v>
      </c>
      <c r="L35" s="6" cm="1">
        <f t="array" ref="L35">_xll.BDP($A35,L$24)</f>
        <v>10195.549999999999</v>
      </c>
    </row>
    <row r="36" spans="1:12" x14ac:dyDescent="0.25">
      <c r="A36" t="str">
        <f t="shared" si="8"/>
        <v>SFR1YM7 comdty</v>
      </c>
      <c r="C36" s="5" t="str">
        <f t="shared" si="6"/>
        <v>SFR1YM7</v>
      </c>
      <c r="D36" cm="1">
        <f t="array" ref="D36">_xll.BDP($O15,Q$4)</f>
        <v>96.597499999999997</v>
      </c>
      <c r="E36" s="3" cm="1">
        <f t="array" aca="1" ref="E36" ca="1">((G36+H36)/2) - (_xll.BDH($O15,$Q$4,$O$24))</f>
        <v>-3.8749999999993179E-2</v>
      </c>
      <c r="F36" cm="1">
        <f t="array" ref="F36">_xll.BDP($O15,R$4)</f>
        <v>3095</v>
      </c>
      <c r="G36" cm="1">
        <f t="array" ref="G36">_xll.BDP($O15,T$4)</f>
        <v>96.592500000000001</v>
      </c>
      <c r="H36" cm="1">
        <f t="array" ref="H36">_xll.BDP($O15,U$4)</f>
        <v>96.594999999999999</v>
      </c>
      <c r="I36" s="2">
        <f t="shared" ca="1" si="7"/>
        <v>1.1100849054018642</v>
      </c>
      <c r="J36" s="2"/>
      <c r="K36" t="str" cm="1">
        <f t="array" ref="K36">_xll.BDP(A36,K$24)</f>
        <v>#N/A Field Not Applicable</v>
      </c>
      <c r="L36" s="6" cm="1">
        <f t="array" ref="L36">_xll.BDP($A36,L$24)</f>
        <v>18447.45</v>
      </c>
    </row>
    <row r="37" spans="1:12" x14ac:dyDescent="0.25">
      <c r="A37" t="str">
        <f t="shared" si="8"/>
        <v>SFRM6Z6 comdty</v>
      </c>
      <c r="C37" s="5" t="str">
        <f t="shared" si="6"/>
        <v>SFRM6Z6</v>
      </c>
      <c r="D37" cm="1">
        <f t="array" ref="D37">_xll.BDP($O16,Q$4)</f>
        <v>-9.5000000000000001E-2</v>
      </c>
      <c r="E37" s="3" cm="1">
        <f t="array" aca="1" ref="E37" ca="1">((G37+H37)/2) - (_xll.BDH($O16,$Q$4,$O$24))</f>
        <v>1.7500000000000002E-2</v>
      </c>
      <c r="F37" cm="1">
        <f t="array" ref="F37">_xll.BDP($O16,R$4)</f>
        <v>4529</v>
      </c>
      <c r="G37" cm="1">
        <f t="array" ref="G37">_xll.BDP($O16,T$4)</f>
        <v>-0.1</v>
      </c>
      <c r="H37" cm="1">
        <f t="array" ref="H37">_xll.BDP($O16,U$4)</f>
        <v>-9.5000000000000001E-2</v>
      </c>
      <c r="I37" s="2">
        <f t="shared" ca="1" si="7"/>
        <v>-1.1354469234367237</v>
      </c>
      <c r="J37" s="2"/>
      <c r="K37" cm="1">
        <f t="array" ref="K37">_xll.BDP(A37,K$24)</f>
        <v>4.9999997019767761E-2</v>
      </c>
      <c r="L37" s="6" cm="1">
        <f t="array" ref="L37">_xll.BDP($A37,L$24)</f>
        <v>23084.85</v>
      </c>
    </row>
    <row r="38" spans="1:12" x14ac:dyDescent="0.25">
      <c r="A38" t="str">
        <f>C38&amp;" comdty"</f>
        <v>SFRZ6Z8 comdty</v>
      </c>
      <c r="C38" s="5" t="str">
        <f t="shared" si="6"/>
        <v>SFRZ6Z8</v>
      </c>
      <c r="D38" cm="1">
        <f t="array" ref="D38">_xll.BDP($O17,Q$4)</f>
        <v>-0.105</v>
      </c>
      <c r="E38" s="3" cm="1">
        <f t="array" aca="1" ref="E38" ca="1">((G38+H38)/2) - (_xll.BDH($O17,$Q$4,$O$24))</f>
        <v>-1.2499999999999997E-2</v>
      </c>
      <c r="F38" cm="1">
        <f t="array" ref="F38">_xll.BDP($O17,R$4)</f>
        <v>1179</v>
      </c>
      <c r="G38" cm="1">
        <f t="array" ref="G38">_xll.BDP($O17,T$4)</f>
        <v>-0.11</v>
      </c>
      <c r="H38" cm="1">
        <f t="array" ref="H38">_xll.BDP($O17,U$4)</f>
        <v>-0.105</v>
      </c>
      <c r="I38" s="2">
        <f t="shared" si="7"/>
        <v>0</v>
      </c>
      <c r="J38" s="2"/>
      <c r="K38" cm="1">
        <f t="array" ref="K38">_xll.BDP(A38,K$24)</f>
        <v>-9.5000006258487701E-2</v>
      </c>
      <c r="L38" s="6" cm="1">
        <f t="array" ref="L38">_xll.BDP($A38,L$24)</f>
        <v>1942.85</v>
      </c>
    </row>
    <row r="39" spans="1:12" x14ac:dyDescent="0.25">
      <c r="A39" t="str">
        <f>C39&amp;" comdty"</f>
        <v>SFRM6H7 comdty</v>
      </c>
      <c r="C39" s="5" t="str">
        <f>C18</f>
        <v>SFRM6H7</v>
      </c>
      <c r="D39" cm="1">
        <f t="array" ref="D39">_xll.BDP($O18,Q$4)</f>
        <v>-0.14000000000000001</v>
      </c>
      <c r="E39" s="3" cm="1">
        <f t="array" aca="1" ref="E39" ca="1">((G39+H39)/2) - (_xll.BDH($O18,$Q$4,$O$24))</f>
        <v>2.2499999999999992E-2</v>
      </c>
      <c r="F39" cm="1">
        <f t="array" ref="F39">_xll.BDP($O18,R$4)</f>
        <v>905</v>
      </c>
      <c r="G39" cm="1">
        <f t="array" ref="G39">_xll.BDP($O18,T$4)</f>
        <v>-0.13500000000000001</v>
      </c>
      <c r="H39" cm="1">
        <f t="array" ref="H39">_xll.BDP($O18,U$4)</f>
        <v>-0.13</v>
      </c>
      <c r="I39" s="2">
        <f>AE18</f>
        <v>0</v>
      </c>
      <c r="J39" s="2"/>
      <c r="K39" cm="1">
        <f t="array" ref="K39">_xll.BDP(A39,K$24)</f>
        <v>1.5000000596046448E-2</v>
      </c>
      <c r="L39" s="6" cm="1">
        <f t="array" ref="L39">_xll.BDP($A39,L$24)</f>
        <v>6256.05</v>
      </c>
    </row>
    <row r="40" spans="1:12" x14ac:dyDescent="0.25">
      <c r="A40" t="str">
        <f>C40&amp;" comdty"</f>
        <v>SFRZ7M8 comdty</v>
      </c>
      <c r="C40" s="5" t="str">
        <f>C19</f>
        <v>SFRZ7M8</v>
      </c>
      <c r="D40" t="str" cm="1">
        <f t="array" ref="D40">_xll.BDP($O19,Q$4)</f>
        <v>#N/A Mandatory parameter [SECURITY] cannot be empty</v>
      </c>
      <c r="E40" s="3" t="e" cm="1">
        <f t="array" aca="1" ref="E40" ca="1">((G40+H40)/2) - (_xll.BDH($O19,$Q$4,$O$24))</f>
        <v>#VALUE!</v>
      </c>
      <c r="F40" t="str" cm="1">
        <f t="array" ref="F40">_xll.BDP($O19,R$4)</f>
        <v>#N/A Mandatory parameter [SECURITY] cannot be empty</v>
      </c>
      <c r="G40" t="str" cm="1">
        <f t="array" ref="G40">_xll.BDP($O19,T$4)</f>
        <v>#N/A Mandatory parameter [SECURITY] cannot be empty</v>
      </c>
      <c r="H40" t="str" cm="1">
        <f t="array" ref="H40">_xll.BDP($O19,U$4)</f>
        <v>#N/A Mandatory parameter [SECURITY] cannot be empty</v>
      </c>
      <c r="I40" s="2">
        <f>AE19</f>
        <v>0</v>
      </c>
      <c r="J40" s="2"/>
      <c r="K40" cm="1">
        <f t="array" ref="K40">_xll.BDP(A40,K$24)</f>
        <v>-7.0000002160668373E-2</v>
      </c>
      <c r="L40" s="6" cm="1">
        <f t="array" ref="L40">_xll.BDP($A40,L$24)</f>
        <v>6963.85</v>
      </c>
    </row>
    <row r="41" spans="1:12" x14ac:dyDescent="0.25">
      <c r="A41" t="str">
        <f>C41&amp;" comdty"</f>
        <v>0 comdty</v>
      </c>
      <c r="C41" s="5">
        <f>C20</f>
        <v>0</v>
      </c>
      <c r="D41" t="str" cm="1">
        <f t="array" ref="D41">_xll.BDP($O20,Q$4)</f>
        <v>#N/A Mandatory parameter [SECURITY] cannot be empty</v>
      </c>
      <c r="E41" s="3" t="e" cm="1">
        <f t="array" aca="1" ref="E41" ca="1">((G41+H41)/2) - (_xll.BDH($O20,$Q$4,$O$24))</f>
        <v>#VALUE!</v>
      </c>
      <c r="F41" t="str" cm="1">
        <f t="array" ref="F41">_xll.BDP($O20,R$4)</f>
        <v>#N/A Mandatory parameter [SECURITY] cannot be empty</v>
      </c>
      <c r="G41" t="str" cm="1">
        <f t="array" ref="G41">_xll.BDP($O20,T$4)</f>
        <v>#N/A Mandatory parameter [SECURITY] cannot be empty</v>
      </c>
      <c r="H41" t="str" cm="1">
        <f t="array" ref="H41">_xll.BDP($O20,U$4)</f>
        <v>#N/A Mandatory parameter [SECURITY] cannot be empty</v>
      </c>
      <c r="I41" s="2">
        <f>AE20</f>
        <v>0</v>
      </c>
      <c r="J41" s="2"/>
      <c r="K41" t="str" cm="1">
        <f t="array" ref="K41">_xll.BDP(A41,K$24)</f>
        <v>#N/A N/A</v>
      </c>
      <c r="L41" s="6" t="str" cm="1">
        <f t="array" ref="L41">_xll.BDP($A41,L$24)</f>
        <v>#N/A N/A</v>
      </c>
    </row>
  </sheetData>
  <conditionalFormatting sqref="F27:F41">
    <cfRule type="colorScale" priority="2">
      <colorScale>
        <cfvo type="min"/>
        <cfvo type="max"/>
        <color rgb="FFFCFCFF"/>
        <color rgb="FF63BE7B"/>
      </colorScale>
    </cfRule>
  </conditionalFormatting>
  <conditionalFormatting sqref="I27:I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AA16 I27:J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C03301BF-EBE1-428A-8DA4-3212C542B5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'Fut Flow SFR'!AJ6:BD6</xm:f>
              <xm:sqref>J27</xm:sqref>
            </x14:sparkline>
            <x14:sparkline>
              <xm:f>'Fut Flow SFR'!AJ7:BD7</xm:f>
              <xm:sqref>J28</xm:sqref>
            </x14:sparkline>
            <x14:sparkline>
              <xm:f>'Fut Flow SFR'!AJ8:BD8</xm:f>
              <xm:sqref>J29</xm:sqref>
            </x14:sparkline>
            <x14:sparkline>
              <xm:f>'Fut Flow SFR'!AJ9:BD9</xm:f>
              <xm:sqref>J30</xm:sqref>
            </x14:sparkline>
            <x14:sparkline>
              <xm:f>'Fut Flow SFR'!AJ10:BD10</xm:f>
              <xm:sqref>J31</xm:sqref>
            </x14:sparkline>
            <x14:sparkline>
              <xm:f>'Fut Flow SFR'!AJ11:BD11</xm:f>
              <xm:sqref>J32</xm:sqref>
            </x14:sparkline>
            <x14:sparkline>
              <xm:f>'Fut Flow SFR'!AJ12:BD12</xm:f>
              <xm:sqref>J33</xm:sqref>
            </x14:sparkline>
            <x14:sparkline>
              <xm:f>'Fut Flow SFR'!AJ13:BD13</xm:f>
              <xm:sqref>J34</xm:sqref>
            </x14:sparkline>
            <x14:sparkline>
              <xm:f>'Fut Flow SFR'!AJ14:BD14</xm:f>
              <xm:sqref>J35</xm:sqref>
            </x14:sparkline>
            <x14:sparkline>
              <xm:f>'Fut Flow SFR'!AJ15:BD15</xm:f>
              <xm:sqref>J36</xm:sqref>
            </x14:sparkline>
            <x14:sparkline>
              <xm:f>'Fut Flow SFR'!AJ16:BD16</xm:f>
              <xm:sqref>J37</xm:sqref>
            </x14:sparkline>
            <x14:sparkline>
              <xm:f>'Fut Flow SFR'!AJ17:BD17</xm:f>
              <xm:sqref>J38</xm:sqref>
            </x14:sparkline>
            <x14:sparkline>
              <xm:f>'Fut Flow SFR'!AJ18:BD18</xm:f>
              <xm:sqref>J39</xm:sqref>
            </x14:sparkline>
            <x14:sparkline>
              <xm:f>'Fut Flow SFR'!AJ19:BD19</xm:f>
              <xm:sqref>J40</xm:sqref>
            </x14:sparkline>
            <x14:sparkline>
              <xm:f>'Fut Flow SFR'!AJ20:BD20</xm:f>
              <xm:sqref>J41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985C-02EB-4158-ACE7-9DC6193A307A}">
  <dimension ref="A3:BC32"/>
  <sheetViews>
    <sheetView topLeftCell="B13" workbookViewId="0">
      <selection activeCell="B21" sqref="B21:K30"/>
    </sheetView>
  </sheetViews>
  <sheetFormatPr defaultRowHeight="15" x14ac:dyDescent="0.25"/>
  <cols>
    <col min="1" max="1" width="0" hidden="1" customWidth="1"/>
    <col min="2" max="2" width="13" customWidth="1"/>
    <col min="3" max="3" width="10.42578125" customWidth="1"/>
    <col min="4" max="4" width="8.140625" bestFit="1" customWidth="1"/>
    <col min="8" max="8" width="10.5703125" customWidth="1"/>
    <col min="9" max="9" width="17.7109375" customWidth="1"/>
    <col min="10" max="10" width="10.5703125" customWidth="1"/>
    <col min="11" max="11" width="13.7109375" customWidth="1"/>
    <col min="12" max="12" width="14" customWidth="1"/>
    <col min="13" max="13" width="9.140625" customWidth="1"/>
    <col min="14" max="14" width="11.140625" customWidth="1"/>
    <col min="15" max="15" width="12.7109375" customWidth="1"/>
    <col min="16" max="16" width="8.85546875" customWidth="1"/>
    <col min="18" max="18" width="8" customWidth="1"/>
    <col min="21" max="21" width="9.140625" customWidth="1"/>
    <col min="23" max="23" width="19" customWidth="1"/>
    <col min="32" max="54" width="10.42578125" bestFit="1" customWidth="1"/>
    <col min="698" max="698" width="9.85546875" bestFit="1" customWidth="1"/>
    <col min="699" max="699" width="19.28515625" bestFit="1" customWidth="1"/>
  </cols>
  <sheetData>
    <row r="3" spans="2:55" x14ac:dyDescent="0.25">
      <c r="AF3">
        <v>-23</v>
      </c>
      <c r="AG3">
        <v>-22</v>
      </c>
      <c r="AH3">
        <v>-21</v>
      </c>
      <c r="AI3">
        <v>-20</v>
      </c>
      <c r="AJ3">
        <v>-19</v>
      </c>
      <c r="AK3">
        <v>-18</v>
      </c>
      <c r="AL3">
        <v>-17</v>
      </c>
      <c r="AM3">
        <v>-16</v>
      </c>
      <c r="AN3">
        <v>-15</v>
      </c>
      <c r="AO3">
        <v>-14</v>
      </c>
      <c r="AP3">
        <v>-13</v>
      </c>
      <c r="AQ3">
        <v>-12</v>
      </c>
      <c r="AR3">
        <v>-11</v>
      </c>
      <c r="AS3">
        <v>-10</v>
      </c>
      <c r="AT3">
        <v>-9</v>
      </c>
      <c r="AU3">
        <v>-8</v>
      </c>
      <c r="AV3">
        <v>-7</v>
      </c>
      <c r="AW3">
        <v>-6</v>
      </c>
      <c r="AX3">
        <v>-5</v>
      </c>
      <c r="AY3">
        <v>-4</v>
      </c>
      <c r="AZ3">
        <v>-3</v>
      </c>
      <c r="BA3">
        <v>-2</v>
      </c>
      <c r="BB3">
        <v>-1</v>
      </c>
    </row>
    <row r="4" spans="2:55" x14ac:dyDescent="0.25">
      <c r="P4" t="s">
        <v>2</v>
      </c>
      <c r="Q4" t="s">
        <v>4</v>
      </c>
      <c r="R4" t="s">
        <v>5</v>
      </c>
      <c r="S4" t="s">
        <v>6</v>
      </c>
      <c r="T4" t="s">
        <v>7</v>
      </c>
      <c r="U4" t="s">
        <v>8</v>
      </c>
      <c r="V4" t="s">
        <v>9</v>
      </c>
    </row>
    <row r="5" spans="2:55" x14ac:dyDescent="0.25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X5" s="5"/>
      <c r="Y5" s="5"/>
      <c r="Z5" s="5"/>
      <c r="AB5" t="s">
        <v>0</v>
      </c>
      <c r="AC5" t="s">
        <v>1</v>
      </c>
      <c r="AD5" t="s">
        <v>20</v>
      </c>
      <c r="AF5" s="1">
        <f ca="1">WORKDAY(TODAY(),AF$3)</f>
        <v>46100</v>
      </c>
      <c r="AG5" s="1">
        <f t="shared" ref="AG5:BB5" ca="1" si="0">WORKDAY(TODAY(),AG$3)</f>
        <v>46101</v>
      </c>
      <c r="AH5" s="1">
        <f t="shared" ca="1" si="0"/>
        <v>46104</v>
      </c>
      <c r="AI5" s="1">
        <f t="shared" ca="1" si="0"/>
        <v>46105</v>
      </c>
      <c r="AJ5" s="1">
        <f t="shared" ca="1" si="0"/>
        <v>46106</v>
      </c>
      <c r="AK5" s="1">
        <f t="shared" ca="1" si="0"/>
        <v>46107</v>
      </c>
      <c r="AL5" s="1">
        <f t="shared" ca="1" si="0"/>
        <v>46108</v>
      </c>
      <c r="AM5" s="1">
        <f t="shared" ca="1" si="0"/>
        <v>46111</v>
      </c>
      <c r="AN5" s="1">
        <f t="shared" ca="1" si="0"/>
        <v>46112</v>
      </c>
      <c r="AO5" s="1">
        <f t="shared" ca="1" si="0"/>
        <v>46113</v>
      </c>
      <c r="AP5" s="1">
        <f t="shared" ca="1" si="0"/>
        <v>46114</v>
      </c>
      <c r="AQ5" s="1">
        <f t="shared" ca="1" si="0"/>
        <v>46115</v>
      </c>
      <c r="AR5" s="1">
        <f t="shared" ca="1" si="0"/>
        <v>46118</v>
      </c>
      <c r="AS5" s="1">
        <f t="shared" ca="1" si="0"/>
        <v>46119</v>
      </c>
      <c r="AT5" s="1">
        <f t="shared" ca="1" si="0"/>
        <v>46120</v>
      </c>
      <c r="AU5" s="1">
        <f t="shared" ca="1" si="0"/>
        <v>46121</v>
      </c>
      <c r="AV5" s="1">
        <f t="shared" ca="1" si="0"/>
        <v>46122</v>
      </c>
      <c r="AW5" s="1">
        <f t="shared" ca="1" si="0"/>
        <v>46125</v>
      </c>
      <c r="AX5" s="1">
        <f t="shared" ca="1" si="0"/>
        <v>46126</v>
      </c>
      <c r="AY5" s="1">
        <f t="shared" ca="1" si="0"/>
        <v>46127</v>
      </c>
      <c r="AZ5" s="1">
        <f t="shared" ca="1" si="0"/>
        <v>46128</v>
      </c>
      <c r="BA5" s="1">
        <f t="shared" ca="1" si="0"/>
        <v>46129</v>
      </c>
      <c r="BB5" s="1">
        <f t="shared" ca="1" si="0"/>
        <v>46132</v>
      </c>
    </row>
    <row r="6" spans="2:55" x14ac:dyDescent="0.25">
      <c r="B6" t="s">
        <v>58</v>
      </c>
      <c r="C6" t="s">
        <v>59</v>
      </c>
      <c r="D6">
        <v>4768</v>
      </c>
      <c r="E6">
        <v>-1.4999999999999999E-2</v>
      </c>
      <c r="F6">
        <v>-0.01</v>
      </c>
      <c r="G6">
        <v>10043</v>
      </c>
      <c r="H6">
        <v>5037</v>
      </c>
      <c r="I6">
        <v>-1.4999999999999999E-2</v>
      </c>
      <c r="J6" t="s">
        <v>109</v>
      </c>
      <c r="K6" t="s">
        <v>23</v>
      </c>
      <c r="N6" t="str">
        <f t="shared" ref="N6:N17" si="1">B6&amp;" comdty"</f>
        <v>SFIZ6H7 comdty</v>
      </c>
      <c r="X6" s="2"/>
      <c r="Y6" s="2"/>
      <c r="Z6" s="2"/>
      <c r="AB6">
        <f ca="1">AVERAGE(AI6:BB6)</f>
        <v>5.0000000000000001E-4</v>
      </c>
      <c r="AC6">
        <f ca="1">_xlfn.STDEV.P(AI6:BB6)</f>
        <v>9.8615414616580101E-3</v>
      </c>
      <c r="AD6">
        <f t="shared" ref="AD6:AD16" ca="1" si="2">(C22-AB6)/AC6</f>
        <v>-1.5717623923465209</v>
      </c>
      <c r="AF6" cm="1">
        <f t="array" aca="1" ref="AF6" ca="1">_xll.BDH($N6,$P$4,AF$5)</f>
        <v>-2.5000000000000001E-2</v>
      </c>
      <c r="AG6" cm="1">
        <f t="array" aca="1" ref="AG6" ca="1">_xll.BDH($N6,$P$4,AG$5)</f>
        <v>-1.4999999999999999E-2</v>
      </c>
      <c r="AH6" cm="1">
        <f t="array" aca="1" ref="AH6" ca="1">_xll.BDH($N6,$P$4,AH$5)</f>
        <v>0.01</v>
      </c>
      <c r="AI6" cm="1">
        <f t="array" aca="1" ref="AI6" ca="1">IF(ISNUMBER(_xll.BDH($N6,$P$4,AI$5)),
   _xll.BDH($N6,$P$4,AI$5),
   LOOKUP(2, 1/(ISNUMBER(AF6:AH6)), AF6:AH6))</f>
        <v>-5.0000000000000001E-3</v>
      </c>
      <c r="AJ6" cm="1">
        <f t="array" aca="1" ref="AJ6" ca="1">IF(ISNUMBER(_xll.BDH($N6,$P$4,AJ$5)),
   _xll.BDH($N6,$P$4,AJ$5),
   LOOKUP(2, 1/(ISNUMBER(AG6:AI6)), AG6:AI6))</f>
        <v>0</v>
      </c>
      <c r="AK6" cm="1">
        <f t="array" aca="1" ref="AK6" ca="1">IF(ISNUMBER(_xll.BDH($N6,$P$4,AK$5)),
   _xll.BDH($N6,$P$4,AK$5),
   LOOKUP(2, 1/(ISNUMBER(AH6:AJ6)), AH6:AJ6))</f>
        <v>1.4999999999999999E-2</v>
      </c>
      <c r="AL6" cm="1">
        <f t="array" aca="1" ref="AL6" ca="1">IF(ISNUMBER(_xll.BDH($N6,$P$4,AL$5)),
   _xll.BDH($N6,$P$4,AL$5),
   LOOKUP(2, 1/(ISNUMBER(AI6:AK6)), AI6:AK6))</f>
        <v>1.4999999999999999E-2</v>
      </c>
      <c r="AM6" cm="1">
        <f t="array" aca="1" ref="AM6" ca="1">IF(ISNUMBER(_xll.BDH($N6,$P$4,AM$5)),
   _xll.BDH($N6,$P$4,AM$5),
   LOOKUP(2, 1/(ISNUMBER(AJ6:AL6)), AJ6:AL6))</f>
        <v>0</v>
      </c>
      <c r="AN6" cm="1">
        <f t="array" aca="1" ref="AN6" ca="1">IF(ISNUMBER(_xll.BDH($N6,$P$4,AN$5)),
   _xll.BDH($N6,$P$4,AN$5),
   LOOKUP(2, 1/(ISNUMBER(AK6:AM6)), AK6:AM6))</f>
        <v>0</v>
      </c>
      <c r="AO6" cm="1">
        <f t="array" aca="1" ref="AO6" ca="1">IF(ISNUMBER(_xll.BDH($N6,$P$4,AO$5)),
   _xll.BDH($N6,$P$4,AO$5),
   LOOKUP(2, 1/(ISNUMBER(AL6:AN6)), AL6:AN6))</f>
        <v>0.01</v>
      </c>
      <c r="AP6" cm="1">
        <f t="array" aca="1" ref="AP6" ca="1">IF(ISNUMBER(_xll.BDH($N6,$P$4,AP$5)),
   _xll.BDH($N6,$P$4,AP$5),
   LOOKUP(2, 1/(ISNUMBER(AM6:AO6)), AM6:AO6))</f>
        <v>0.01</v>
      </c>
      <c r="AQ6" cm="1">
        <f t="array" aca="1" ref="AQ6" ca="1">IF(ISNUMBER(_xll.BDH($N6,$P$4,AQ$5)),
   _xll.BDH($N6,$P$4,AQ$5),
   LOOKUP(2, 1/(ISNUMBER(AN6:AP6)), AN6:AP6))</f>
        <v>0.01</v>
      </c>
      <c r="AR6" cm="1">
        <f t="array" aca="1" ref="AR6" ca="1">IF(ISNUMBER(_xll.BDH($N6,$P$4,AR$5)),
   _xll.BDH($N6,$P$4,AR$5),
   LOOKUP(2, 1/(ISNUMBER(AO6:AQ6)), AO6:AQ6))</f>
        <v>0.01</v>
      </c>
      <c r="AS6" cm="1">
        <f t="array" aca="1" ref="AS6" ca="1">IF(ISNUMBER(_xll.BDH($N6,$P$4,AS$5)),
   _xll.BDH($N6,$P$4,AS$5),
   LOOKUP(2, 1/(ISNUMBER(AP6:AR6)), AP6:AR6))</f>
        <v>0.01</v>
      </c>
      <c r="AT6" cm="1">
        <f t="array" aca="1" ref="AT6" ca="1">IF(ISNUMBER(_xll.BDH($N6,$P$4,AT$5)),
   _xll.BDH($N6,$P$4,AT$5),
   LOOKUP(2, 1/(ISNUMBER(AQ6:AS6)), AQ6:AS6))</f>
        <v>-5.0000000000000001E-3</v>
      </c>
      <c r="AU6" cm="1">
        <f t="array" aca="1" ref="AU6" ca="1">IF(ISNUMBER(_xll.BDH($N6,$P$4,AU$5)),
   _xll.BDH($N6,$P$4,AU$5),
   LOOKUP(2, 1/(ISNUMBER(AR6:AT6)), AR6:AT6))</f>
        <v>5.0000000000000001E-3</v>
      </c>
      <c r="AV6" cm="1">
        <f t="array" aca="1" ref="AV6" ca="1">IF(ISNUMBER(_xll.BDH($N6,$P$4,AV$5)),
   _xll.BDH($N6,$P$4,AV$5),
   LOOKUP(2, 1/(ISNUMBER(AS6:AU6)), AS6:AU6))</f>
        <v>0</v>
      </c>
      <c r="AW6" cm="1">
        <f t="array" aca="1" ref="AW6" ca="1">IF(ISNUMBER(_xll.BDH($N6,$P$4,AW$5)),
   _xll.BDH($N6,$P$4,AW$5),
   LOOKUP(2, 1/(ISNUMBER(AT6:AV6)), AT6:AV6))</f>
        <v>0</v>
      </c>
      <c r="AX6" cm="1">
        <f t="array" aca="1" ref="AX6" ca="1">IF(ISNUMBER(_xll.BDH($N6,$P$4,AX$5)),
   _xll.BDH($N6,$P$4,AX$5),
   LOOKUP(2, 1/(ISNUMBER(AU6:AW6)), AU6:AW6))</f>
        <v>-0.01</v>
      </c>
      <c r="AY6" cm="1">
        <f t="array" aca="1" ref="AY6" ca="1">IF(ISNUMBER(_xll.BDH($N6,$P$4,AY$5)),
   _xll.BDH($N6,$P$4,AY$5),
   LOOKUP(2, 1/(ISNUMBER(AV6:AX6)), AV6:AX6))</f>
        <v>-1.4999999999999999E-2</v>
      </c>
      <c r="AZ6" cm="1">
        <f t="array" aca="1" ref="AZ6" ca="1">IF(ISNUMBER(_xll.BDH($N6,$P$4,AZ$5)),
   _xll.BDH($N6,$P$4,AZ$5),
   LOOKUP(2, 1/(ISNUMBER(AW6:AY6)), AW6:AY6))</f>
        <v>-0.01</v>
      </c>
      <c r="BA6" cm="1">
        <f t="array" aca="1" ref="BA6" ca="1">IF(ISNUMBER(_xll.BDH($N6,$P$4,BA$5)),
   _xll.BDH($N6,$P$4,BA$5),
   LOOKUP(2, 1/(ISNUMBER(AX6:AZ6)), AX6:AZ6))</f>
        <v>-0.02</v>
      </c>
      <c r="BB6" cm="1">
        <f t="array" aca="1" ref="BB6" ca="1">IF(ISNUMBER(_xll.BDH($N6,$P$4,BB$5)),
   _xll.BDH($N6,$P$4,BB$5),
   LOOKUP(2, 1/(ISNUMBER(AY6:BA6)), AY6:BA6))</f>
        <v>-0.01</v>
      </c>
      <c r="BC6">
        <f t="shared" ref="BC6:BC16" si="3">C22</f>
        <v>-1.4999999999999999E-2</v>
      </c>
    </row>
    <row r="7" spans="2:55" x14ac:dyDescent="0.25">
      <c r="B7" t="s">
        <v>110</v>
      </c>
      <c r="C7" t="s">
        <v>111</v>
      </c>
      <c r="D7">
        <v>3299</v>
      </c>
      <c r="E7">
        <v>-0.14499999999999999</v>
      </c>
      <c r="F7">
        <v>-0.14000000000000001</v>
      </c>
      <c r="G7">
        <v>170</v>
      </c>
      <c r="H7">
        <v>4486</v>
      </c>
      <c r="I7">
        <v>-0.14000000000000001</v>
      </c>
      <c r="J7" t="s">
        <v>112</v>
      </c>
      <c r="K7" t="s">
        <v>23</v>
      </c>
      <c r="N7" t="str">
        <f t="shared" si="1"/>
        <v>SFIZ6Z7 comdty</v>
      </c>
      <c r="X7" s="2"/>
      <c r="Y7" s="2"/>
      <c r="Z7" s="2"/>
      <c r="AB7">
        <f t="shared" ref="AB7:AB16" ca="1" si="4">AVERAGE(AI7:BB7)</f>
        <v>-0.19174999999999995</v>
      </c>
      <c r="AC7">
        <f t="shared" ref="AC7:AC16" ca="1" si="5">_xlfn.STDEV.P(AI7:BB7)</f>
        <v>4.0996188847257739E-2</v>
      </c>
      <c r="AD7">
        <f t="shared" ca="1" si="2"/>
        <v>1.2623124601364384</v>
      </c>
      <c r="AF7" cm="1">
        <f t="array" aca="1" ref="AF7" ca="1">_xll.BDH($N7,$P$4,AF$5)</f>
        <v>-0.27</v>
      </c>
      <c r="AG7" cm="1">
        <f t="array" aca="1" ref="AG7" ca="1">_xll.BDH($N7,$P$4,AG$5)</f>
        <v>-0.3</v>
      </c>
      <c r="AH7" cm="1">
        <f t="array" aca="1" ref="AH7" ca="1">_xll.BDH($N7,$P$4,AH$5)</f>
        <v>-0.245</v>
      </c>
      <c r="AI7" cm="1">
        <f t="array" aca="1" ref="AI7" ca="1">IF(ISNUMBER(_xll.BDH($N7,$P$4,AI$5)),
   _xll.BDH($N7,$P$4,AI$5),
   LOOKUP(2, 1/(ISNUMBER(AF7:AH7)), AF7:AH7))</f>
        <v>-0.27</v>
      </c>
      <c r="AJ7" cm="1">
        <f t="array" aca="1" ref="AJ7" ca="1">IF(ISNUMBER(_xll.BDH($N7,$P$4,AJ$5)),
   _xll.BDH($N7,$P$4,AJ$5),
   LOOKUP(2, 1/(ISNUMBER(AG7:AI7)), AG7:AI7))</f>
        <v>-0.25</v>
      </c>
      <c r="AK7" cm="1">
        <f t="array" aca="1" ref="AK7" ca="1">IF(ISNUMBER(_xll.BDH($N7,$P$4,AK$5)),
   _xll.BDH($N7,$P$4,AK$5),
   LOOKUP(2, 1/(ISNUMBER(AH7:AJ7)), AH7:AJ7))</f>
        <v>-0.245</v>
      </c>
      <c r="AL7" cm="1">
        <f t="array" aca="1" ref="AL7" ca="1">IF(ISNUMBER(_xll.BDH($N7,$P$4,AL$5)),
   _xll.BDH($N7,$P$4,AL$5),
   LOOKUP(2, 1/(ISNUMBER(AI7:AK7)), AI7:AK7))</f>
        <v>-0.24</v>
      </c>
      <c r="AM7" cm="1">
        <f t="array" aca="1" ref="AM7" ca="1">IF(ISNUMBER(_xll.BDH($N7,$P$4,AM$5)),
   _xll.BDH($N7,$P$4,AM$5),
   LOOKUP(2, 1/(ISNUMBER(AJ7:AL7)), AJ7:AL7))</f>
        <v>-0.24</v>
      </c>
      <c r="AN7" cm="1">
        <f t="array" aca="1" ref="AN7" ca="1">IF(ISNUMBER(_xll.BDH($N7,$P$4,AN$5)),
   _xll.BDH($N7,$P$4,AN$5),
   LOOKUP(2, 1/(ISNUMBER(AK7:AM7)), AK7:AM7))</f>
        <v>-0.22</v>
      </c>
      <c r="AO7" cm="1">
        <f t="array" aca="1" ref="AO7" ca="1">IF(ISNUMBER(_xll.BDH($N7,$P$4,AO$5)),
   _xll.BDH($N7,$P$4,AO$5),
   LOOKUP(2, 1/(ISNUMBER(AL7:AN7)), AL7:AN7))</f>
        <v>-0.17</v>
      </c>
      <c r="AP7" cm="1">
        <f t="array" aca="1" ref="AP7" ca="1">IF(ISNUMBER(_xll.BDH($N7,$P$4,AP$5)),
   _xll.BDH($N7,$P$4,AP$5),
   LOOKUP(2, 1/(ISNUMBER(AM7:AO7)), AM7:AO7))</f>
        <v>-0.2</v>
      </c>
      <c r="AQ7" cm="1">
        <f t="array" aca="1" ref="AQ7" ca="1">IF(ISNUMBER(_xll.BDH($N7,$P$4,AQ$5)),
   _xll.BDH($N7,$P$4,AQ$5),
   LOOKUP(2, 1/(ISNUMBER(AN7:AP7)), AN7:AP7))</f>
        <v>-0.2</v>
      </c>
      <c r="AR7" cm="1">
        <f t="array" aca="1" ref="AR7" ca="1">IF(ISNUMBER(_xll.BDH($N7,$P$4,AR$5)),
   _xll.BDH($N7,$P$4,AR$5),
   LOOKUP(2, 1/(ISNUMBER(AO7:AQ7)), AO7:AQ7))</f>
        <v>-0.2</v>
      </c>
      <c r="AS7" cm="1">
        <f t="array" aca="1" ref="AS7" ca="1">IF(ISNUMBER(_xll.BDH($N7,$P$4,AS$5)),
   _xll.BDH($N7,$P$4,AS$5),
   LOOKUP(2, 1/(ISNUMBER(AP7:AR7)), AP7:AR7))</f>
        <v>-0.215</v>
      </c>
      <c r="AT7" cm="1">
        <f t="array" aca="1" ref="AT7" ca="1">IF(ISNUMBER(_xll.BDH($N7,$P$4,AT$5)),
   _xll.BDH($N7,$P$4,AT$5),
   LOOKUP(2, 1/(ISNUMBER(AQ7:AS7)), AQ7:AS7))</f>
        <v>-0.155</v>
      </c>
      <c r="AU7" cm="1">
        <f t="array" aca="1" ref="AU7" ca="1">IF(ISNUMBER(_xll.BDH($N7,$P$4,AU$5)),
   _xll.BDH($N7,$P$4,AU$5),
   LOOKUP(2, 1/(ISNUMBER(AR7:AT7)), AR7:AT7))</f>
        <v>-0.13500000000000001</v>
      </c>
      <c r="AV7" cm="1">
        <f t="array" aca="1" ref="AV7" ca="1">IF(ISNUMBER(_xll.BDH($N7,$P$4,AV$5)),
   _xll.BDH($N7,$P$4,AV$5),
   LOOKUP(2, 1/(ISNUMBER(AS7:AU7)), AS7:AU7))</f>
        <v>-0.155</v>
      </c>
      <c r="AW7" cm="1">
        <f t="array" aca="1" ref="AW7" ca="1">IF(ISNUMBER(_xll.BDH($N7,$P$4,AW$5)),
   _xll.BDH($N7,$P$4,AW$5),
   LOOKUP(2, 1/(ISNUMBER(AT7:AV7)), AT7:AV7))</f>
        <v>-0.18</v>
      </c>
      <c r="AX7" cm="1">
        <f t="array" aca="1" ref="AX7" ca="1">IF(ISNUMBER(_xll.BDH($N7,$P$4,AX$5)),
   _xll.BDH($N7,$P$4,AX$5),
   LOOKUP(2, 1/(ISNUMBER(AU7:AW7)), AU7:AW7))</f>
        <v>-0.155</v>
      </c>
      <c r="AY7" cm="1">
        <f t="array" aca="1" ref="AY7" ca="1">IF(ISNUMBER(_xll.BDH($N7,$P$4,AY$5)),
   _xll.BDH($N7,$P$4,AY$5),
   LOOKUP(2, 1/(ISNUMBER(AV7:AX7)), AV7:AX7))</f>
        <v>-0.17</v>
      </c>
      <c r="AZ7" cm="1">
        <f t="array" aca="1" ref="AZ7" ca="1">IF(ISNUMBER(_xll.BDH($N7,$P$4,AZ$5)),
   _xll.BDH($N7,$P$4,AZ$5),
   LOOKUP(2, 1/(ISNUMBER(AW7:AY7)), AW7:AY7))</f>
        <v>-0.15</v>
      </c>
      <c r="BA7" cm="1">
        <f t="array" aca="1" ref="BA7" ca="1">IF(ISNUMBER(_xll.BDH($N7,$P$4,BA$5)),
   _xll.BDH($N7,$P$4,BA$5),
   LOOKUP(2, 1/(ISNUMBER(AX7:AZ7)), AX7:AZ7))</f>
        <v>-0.15</v>
      </c>
      <c r="BB7" cm="1">
        <f t="array" aca="1" ref="BB7" ca="1">IF(ISNUMBER(_xll.BDH($N7,$P$4,BB$5)),
   _xll.BDH($N7,$P$4,BB$5),
   LOOKUP(2, 1/(ISNUMBER(AY7:BA7)), AY7:BA7))</f>
        <v>-0.13500000000000001</v>
      </c>
      <c r="BC7">
        <f t="shared" si="3"/>
        <v>-0.14000000000000001</v>
      </c>
    </row>
    <row r="8" spans="2:55" x14ac:dyDescent="0.25">
      <c r="B8" t="s">
        <v>50</v>
      </c>
      <c r="C8" t="s">
        <v>51</v>
      </c>
      <c r="D8">
        <v>2862</v>
      </c>
      <c r="E8">
        <v>0.16</v>
      </c>
      <c r="F8">
        <v>0.16500000000000001</v>
      </c>
      <c r="G8">
        <v>1495</v>
      </c>
      <c r="H8">
        <v>4427</v>
      </c>
      <c r="I8">
        <v>0.16500000000000001</v>
      </c>
      <c r="J8" t="s">
        <v>113</v>
      </c>
      <c r="K8" t="s">
        <v>23</v>
      </c>
      <c r="N8" t="str">
        <f t="shared" si="1"/>
        <v>SFIM6U6 comdty</v>
      </c>
      <c r="X8" s="2"/>
      <c r="Y8" s="2"/>
      <c r="Z8" s="2"/>
      <c r="AB8">
        <f t="shared" ca="1" si="4"/>
        <v>0.17400000000000002</v>
      </c>
      <c r="AC8">
        <f t="shared" ca="1" si="5"/>
        <v>3.2116973705503288E-2</v>
      </c>
      <c r="AD8">
        <f t="shared" ca="1" si="2"/>
        <v>-1.2143111725784208</v>
      </c>
      <c r="AF8" cm="1">
        <f t="array" aca="1" ref="AF8" ca="1">_xll.BDH($N8,$P$4,AF$5)</f>
        <v>0.20499999999999999</v>
      </c>
      <c r="AG8" cm="1">
        <f t="array" aca="1" ref="AG8" ca="1">_xll.BDH($N8,$P$4,AG$5)</f>
        <v>0.27</v>
      </c>
      <c r="AH8" cm="1">
        <f t="array" aca="1" ref="AH8" ca="1">_xll.BDH($N8,$P$4,AH$5)</f>
        <v>0.19500000000000001</v>
      </c>
      <c r="AI8" cm="1">
        <f t="array" aca="1" ref="AI8" ca="1">IF(ISNUMBER(_xll.BDH($N8,$P$4,AI$5)),
   _xll.BDH($N8,$P$4,AI$5),
   LOOKUP(2, 1/(ISNUMBER(AF8:AH8)), AF8:AH8))</f>
        <v>0.18</v>
      </c>
      <c r="AJ8" cm="1">
        <f t="array" aca="1" ref="AJ8" ca="1">IF(ISNUMBER(_xll.BDH($N8,$P$4,AJ$5)),
   _xll.BDH($N8,$P$4,AJ$5),
   LOOKUP(2, 1/(ISNUMBER(AG8:AI8)), AG8:AI8))</f>
        <v>0.17</v>
      </c>
      <c r="AK8" cm="1">
        <f t="array" aca="1" ref="AK8" ca="1">IF(ISNUMBER(_xll.BDH($N8,$P$4,AK$5)),
   _xll.BDH($N8,$P$4,AK$5),
   LOOKUP(2, 1/(ISNUMBER(AH8:AJ8)), AH8:AJ8))</f>
        <v>0.22</v>
      </c>
      <c r="AL8" cm="1">
        <f t="array" aca="1" ref="AL8" ca="1">IF(ISNUMBER(_xll.BDH($N8,$P$4,AL$5)),
   _xll.BDH($N8,$P$4,AL$5),
   LOOKUP(2, 1/(ISNUMBER(AI8:AK8)), AI8:AK8))</f>
        <v>0.23</v>
      </c>
      <c r="AM8" cm="1">
        <f t="array" aca="1" ref="AM8" ca="1">IF(ISNUMBER(_xll.BDH($N8,$P$4,AM$5)),
   _xll.BDH($N8,$P$4,AM$5),
   LOOKUP(2, 1/(ISNUMBER(AJ8:AL8)), AJ8:AL8))</f>
        <v>0.21</v>
      </c>
      <c r="AN8" cm="1">
        <f t="array" aca="1" ref="AN8" ca="1">IF(ISNUMBER(_xll.BDH($N8,$P$4,AN$5)),
   _xll.BDH($N8,$P$4,AN$5),
   LOOKUP(2, 1/(ISNUMBER(AK8:AM8)), AK8:AM8))</f>
        <v>0.19500000000000001</v>
      </c>
      <c r="AO8" cm="1">
        <f t="array" aca="1" ref="AO8" ca="1">IF(ISNUMBER(_xll.BDH($N8,$P$4,AO$5)),
   _xll.BDH($N8,$P$4,AO$5),
   LOOKUP(2, 1/(ISNUMBER(AL8:AN8)), AL8:AN8))</f>
        <v>0.16500000000000001</v>
      </c>
      <c r="AP8" cm="1">
        <f t="array" aca="1" ref="AP8" ca="1">IF(ISNUMBER(_xll.BDH($N8,$P$4,AP$5)),
   _xll.BDH($N8,$P$4,AP$5),
   LOOKUP(2, 1/(ISNUMBER(AM8:AO8)), AM8:AO8))</f>
        <v>0.18</v>
      </c>
      <c r="AQ8" cm="1">
        <f t="array" aca="1" ref="AQ8" ca="1">IF(ISNUMBER(_xll.BDH($N8,$P$4,AQ$5)),
   _xll.BDH($N8,$P$4,AQ$5),
   LOOKUP(2, 1/(ISNUMBER(AN8:AP8)), AN8:AP8))</f>
        <v>0.18</v>
      </c>
      <c r="AR8" cm="1">
        <f t="array" aca="1" ref="AR8" ca="1">IF(ISNUMBER(_xll.BDH($N8,$P$4,AR$5)),
   _xll.BDH($N8,$P$4,AR$5),
   LOOKUP(2, 1/(ISNUMBER(AO8:AQ8)), AO8:AQ8))</f>
        <v>0.18</v>
      </c>
      <c r="AS8" cm="1">
        <f t="array" aca="1" ref="AS8" ca="1">IF(ISNUMBER(_xll.BDH($N8,$P$4,AS$5)),
   _xll.BDH($N8,$P$4,AS$5),
   LOOKUP(2, 1/(ISNUMBER(AP8:AR8)), AP8:AR8))</f>
        <v>0.23</v>
      </c>
      <c r="AT8" cm="1">
        <f t="array" aca="1" ref="AT8" ca="1">IF(ISNUMBER(_xll.BDH($N8,$P$4,AT$5)),
   _xll.BDH($N8,$P$4,AT$5),
   LOOKUP(2, 1/(ISNUMBER(AQ8:AS8)), AQ8:AS8))</f>
        <v>0.12</v>
      </c>
      <c r="AU8" cm="1">
        <f t="array" aca="1" ref="AU8" ca="1">IF(ISNUMBER(_xll.BDH($N8,$P$4,AU$5)),
   _xll.BDH($N8,$P$4,AU$5),
   LOOKUP(2, 1/(ISNUMBER(AR8:AT8)), AR8:AT8))</f>
        <v>0.13500000000000001</v>
      </c>
      <c r="AV8" cm="1">
        <f t="array" aca="1" ref="AV8" ca="1">IF(ISNUMBER(_xll.BDH($N8,$P$4,AV$5)),
   _xll.BDH($N8,$P$4,AV$5),
   LOOKUP(2, 1/(ISNUMBER(AS8:AU8)), AS8:AU8))</f>
        <v>0.155</v>
      </c>
      <c r="AW8" cm="1">
        <f t="array" aca="1" ref="AW8" ca="1">IF(ISNUMBER(_xll.BDH($N8,$P$4,AW$5)),
   _xll.BDH($N8,$P$4,AW$5),
   LOOKUP(2, 1/(ISNUMBER(AT8:AV8)), AT8:AV8))</f>
        <v>0.19</v>
      </c>
      <c r="AX8" cm="1">
        <f t="array" aca="1" ref="AX8" ca="1">IF(ISNUMBER(_xll.BDH($N8,$P$4,AX$5)),
   _xll.BDH($N8,$P$4,AX$5),
   LOOKUP(2, 1/(ISNUMBER(AU8:AW8)), AU8:AW8))</f>
        <v>0.155</v>
      </c>
      <c r="AY8" cm="1">
        <f t="array" aca="1" ref="AY8" ca="1">IF(ISNUMBER(_xll.BDH($N8,$P$4,AY$5)),
   _xll.BDH($N8,$P$4,AY$5),
   LOOKUP(2, 1/(ISNUMBER(AV8:AX8)), AV8:AX8))</f>
        <v>0.16</v>
      </c>
      <c r="AZ8" cm="1">
        <f t="array" aca="1" ref="AZ8" ca="1">IF(ISNUMBER(_xll.BDH($N8,$P$4,AZ$5)),
   _xll.BDH($N8,$P$4,AZ$5),
   LOOKUP(2, 1/(ISNUMBER(AW8:AY8)), AW8:AY8))</f>
        <v>0.17</v>
      </c>
      <c r="BA8" cm="1">
        <f t="array" aca="1" ref="BA8" ca="1">IF(ISNUMBER(_xll.BDH($N8,$P$4,BA$5)),
   _xll.BDH($N8,$P$4,BA$5),
   LOOKUP(2, 1/(ISNUMBER(AX8:AZ8)), AX8:AZ8))</f>
        <v>0.115</v>
      </c>
      <c r="BB8" cm="1">
        <f t="array" aca="1" ref="BB8" ca="1">IF(ISNUMBER(_xll.BDH($N8,$P$4,BB$5)),
   _xll.BDH($N8,$P$4,BB$5),
   LOOKUP(2, 1/(ISNUMBER(AY8:BA8)), AY8:BA8))</f>
        <v>0.14000000000000001</v>
      </c>
      <c r="BC8">
        <f t="shared" si="3"/>
        <v>0.13500000000000001</v>
      </c>
    </row>
    <row r="9" spans="2:55" x14ac:dyDescent="0.25">
      <c r="B9" t="s">
        <v>82</v>
      </c>
      <c r="C9" t="s">
        <v>83</v>
      </c>
      <c r="D9">
        <v>29</v>
      </c>
      <c r="E9">
        <v>0.01</v>
      </c>
      <c r="F9">
        <v>1.4999999999999999E-2</v>
      </c>
      <c r="G9">
        <v>3033</v>
      </c>
      <c r="H9">
        <v>4083</v>
      </c>
      <c r="I9">
        <v>0.01</v>
      </c>
      <c r="J9" t="s">
        <v>114</v>
      </c>
      <c r="K9" t="s">
        <v>23</v>
      </c>
      <c r="N9" t="str">
        <f t="shared" si="1"/>
        <v>SFIU6H7 comdty</v>
      </c>
      <c r="X9" s="2"/>
      <c r="Y9" s="2"/>
      <c r="Z9" s="2"/>
      <c r="AB9">
        <f t="shared" ca="1" si="4"/>
        <v>3.2750000000000001E-2</v>
      </c>
      <c r="AC9">
        <f t="shared" ca="1" si="5"/>
        <v>2.1299941314473145E-2</v>
      </c>
      <c r="AD9">
        <f t="shared" ca="1" si="2"/>
        <v>-1.0680780601278723</v>
      </c>
      <c r="AF9" cm="1">
        <f t="array" aca="1" ref="AF9" ca="1">_xll.BDH($N9,$P$4,AF$5)</f>
        <v>0.02</v>
      </c>
      <c r="AG9" cm="1">
        <f t="array" aca="1" ref="AG9" ca="1">_xll.BDH($N9,$P$4,AG$5)</f>
        <v>6.5000000000000002E-2</v>
      </c>
      <c r="AH9" cm="1">
        <f t="array" aca="1" ref="AH9" ca="1">_xll.BDH($N9,$P$4,AH$5)</f>
        <v>6.5000000000000002E-2</v>
      </c>
      <c r="AI9" cm="1">
        <f t="array" aca="1" ref="AI9" ca="1">IF(ISNUMBER(_xll.BDH($N9,$P$4,AI$5)),
   _xll.BDH($N9,$P$4,AI$5),
   LOOKUP(2, 1/(ISNUMBER(AF9:AH9)), AF9:AH9))</f>
        <v>0.02</v>
      </c>
      <c r="AJ9" cm="1">
        <f t="array" aca="1" ref="AJ9" ca="1">IF(ISNUMBER(_xll.BDH($N9,$P$4,AJ$5)),
   _xll.BDH($N9,$P$4,AJ$5),
   LOOKUP(2, 1/(ISNUMBER(AG9:AI9)), AG9:AI9))</f>
        <v>0.03</v>
      </c>
      <c r="AK9" cm="1">
        <f t="array" aca="1" ref="AK9" ca="1">IF(ISNUMBER(_xll.BDH($N9,$P$4,AK$5)),
   _xll.BDH($N9,$P$4,AK$5),
   LOOKUP(2, 1/(ISNUMBER(AH9:AJ9)), AH9:AJ9))</f>
        <v>7.0000000000000007E-2</v>
      </c>
      <c r="AL9" cm="1">
        <f t="array" aca="1" ref="AL9" ca="1">IF(ISNUMBER(_xll.BDH($N9,$P$4,AL$5)),
   _xll.BDH($N9,$P$4,AL$5),
   LOOKUP(2, 1/(ISNUMBER(AI9:AK9)), AI9:AK9))</f>
        <v>7.0000000000000007E-2</v>
      </c>
      <c r="AM9" cm="1">
        <f t="array" aca="1" ref="AM9" ca="1">IF(ISNUMBER(_xll.BDH($N9,$P$4,AM$5)),
   _xll.BDH($N9,$P$4,AM$5),
   LOOKUP(2, 1/(ISNUMBER(AJ9:AL9)), AJ9:AL9))</f>
        <v>0.04</v>
      </c>
      <c r="AN9" cm="1">
        <f t="array" aca="1" ref="AN9" ca="1">IF(ISNUMBER(_xll.BDH($N9,$P$4,AN$5)),
   _xll.BDH($N9,$P$4,AN$5),
   LOOKUP(2, 1/(ISNUMBER(AK9:AM9)), AK9:AM9))</f>
        <v>0.03</v>
      </c>
      <c r="AO9" cm="1">
        <f t="array" aca="1" ref="AO9" ca="1">IF(ISNUMBER(_xll.BDH($N9,$P$4,AO$5)),
   _xll.BDH($N9,$P$4,AO$5),
   LOOKUP(2, 1/(ISNUMBER(AL9:AN9)), AL9:AN9))</f>
        <v>0.04</v>
      </c>
      <c r="AP9" cm="1">
        <f t="array" aca="1" ref="AP9" ca="1">IF(ISNUMBER(_xll.BDH($N9,$P$4,AP$5)),
   _xll.BDH($N9,$P$4,AP$5),
   LOOKUP(2, 1/(ISNUMBER(AM9:AO9)), AM9:AO9))</f>
        <v>4.4999999999999998E-2</v>
      </c>
      <c r="AQ9" cm="1">
        <f t="array" aca="1" ref="AQ9" ca="1">IF(ISNUMBER(_xll.BDH($N9,$P$4,AQ$5)),
   _xll.BDH($N9,$P$4,AQ$5),
   LOOKUP(2, 1/(ISNUMBER(AN9:AP9)), AN9:AP9))</f>
        <v>4.4999999999999998E-2</v>
      </c>
      <c r="AR9" cm="1">
        <f t="array" aca="1" ref="AR9" ca="1">IF(ISNUMBER(_xll.BDH($N9,$P$4,AR$5)),
   _xll.BDH($N9,$P$4,AR$5),
   LOOKUP(2, 1/(ISNUMBER(AO9:AQ9)), AO9:AQ9))</f>
        <v>4.4999999999999998E-2</v>
      </c>
      <c r="AS9" cm="1">
        <f t="array" aca="1" ref="AS9" ca="1">IF(ISNUMBER(_xll.BDH($N9,$P$4,AS$5)),
   _xll.BDH($N9,$P$4,AS$5),
   LOOKUP(2, 1/(ISNUMBER(AP9:AR9)), AP9:AR9))</f>
        <v>5.5E-2</v>
      </c>
      <c r="AT9" cm="1">
        <f t="array" aca="1" ref="AT9" ca="1">IF(ISNUMBER(_xll.BDH($N9,$P$4,AT$5)),
   _xll.BDH($N9,$P$4,AT$5),
   LOOKUP(2, 1/(ISNUMBER(AQ9:AS9)), AQ9:AS9))</f>
        <v>0.01</v>
      </c>
      <c r="AU9" cm="1">
        <f t="array" aca="1" ref="AU9" ca="1">IF(ISNUMBER(_xll.BDH($N9,$P$4,AU$5)),
   _xll.BDH($N9,$P$4,AU$5),
   LOOKUP(2, 1/(ISNUMBER(AR9:AT9)), AR9:AT9))</f>
        <v>3.5000000000000003E-2</v>
      </c>
      <c r="AV9" cm="1">
        <f t="array" aca="1" ref="AV9" ca="1">IF(ISNUMBER(_xll.BDH($N9,$P$4,AV$5)),
   _xll.BDH($N9,$P$4,AV$5),
   LOOKUP(2, 1/(ISNUMBER(AS9:AU9)), AS9:AU9))</f>
        <v>0.04</v>
      </c>
      <c r="AW9" cm="1">
        <f t="array" aca="1" ref="AW9" ca="1">IF(ISNUMBER(_xll.BDH($N9,$P$4,AW$5)),
   _xll.BDH($N9,$P$4,AW$5),
   LOOKUP(2, 1/(ISNUMBER(AT9:AV9)), AT9:AV9))</f>
        <v>4.4999999999999998E-2</v>
      </c>
      <c r="AX9" cm="1">
        <f t="array" aca="1" ref="AX9" ca="1">IF(ISNUMBER(_xll.BDH($N9,$P$4,AX$5)),
   _xll.BDH($N9,$P$4,AX$5),
   LOOKUP(2, 1/(ISNUMBER(AU9:AW9)), AU9:AW9))</f>
        <v>0.02</v>
      </c>
      <c r="AY9" cm="1">
        <f t="array" aca="1" ref="AY9" ca="1">IF(ISNUMBER(_xll.BDH($N9,$P$4,AY$5)),
   _xll.BDH($N9,$P$4,AY$5),
   LOOKUP(2, 1/(ISNUMBER(AV9:AX9)), AV9:AX9))</f>
        <v>1.4999999999999999E-2</v>
      </c>
      <c r="AZ9" cm="1">
        <f t="array" aca="1" ref="AZ9" ca="1">IF(ISNUMBER(_xll.BDH($N9,$P$4,AZ$5)),
   _xll.BDH($N9,$P$4,AZ$5),
   LOOKUP(2, 1/(ISNUMBER(AW9:AY9)), AW9:AY9))</f>
        <v>1.4999999999999999E-2</v>
      </c>
      <c r="BA9" cm="1">
        <f t="array" aca="1" ref="BA9" ca="1">IF(ISNUMBER(_xll.BDH($N9,$P$4,BA$5)),
   _xll.BDH($N9,$P$4,BA$5),
   LOOKUP(2, 1/(ISNUMBER(AX9:AZ9)), AX9:AZ9))</f>
        <v>-0.02</v>
      </c>
      <c r="BB9" cm="1">
        <f t="array" aca="1" ref="BB9" ca="1">IF(ISNUMBER(_xll.BDH($N9,$P$4,BB$5)),
   _xll.BDH($N9,$P$4,BB$5),
   LOOKUP(2, 1/(ISNUMBER(AY9:BA9)), AY9:BA9))</f>
        <v>5.0000000000000001E-3</v>
      </c>
      <c r="BC9">
        <f t="shared" si="3"/>
        <v>0.01</v>
      </c>
    </row>
    <row r="10" spans="2:55" x14ac:dyDescent="0.25">
      <c r="B10" t="s">
        <v>93</v>
      </c>
      <c r="C10" t="s">
        <v>94</v>
      </c>
      <c r="D10">
        <v>16708</v>
      </c>
      <c r="E10">
        <v>-0.04</v>
      </c>
      <c r="F10">
        <v>-3.5000000000000003E-2</v>
      </c>
      <c r="G10">
        <v>19182</v>
      </c>
      <c r="H10">
        <v>3629</v>
      </c>
      <c r="I10">
        <v>-0.04</v>
      </c>
      <c r="J10" t="s">
        <v>115</v>
      </c>
      <c r="K10" t="s">
        <v>23</v>
      </c>
      <c r="N10" t="str">
        <f t="shared" si="1"/>
        <v>SFIH7M7 comdty</v>
      </c>
      <c r="X10" s="2"/>
      <c r="Y10" s="2"/>
      <c r="Z10" s="2"/>
      <c r="AB10">
        <f t="shared" ca="1" si="4"/>
        <v>-4.7250000000000021E-2</v>
      </c>
      <c r="AC10">
        <f t="shared" ca="1" si="5"/>
        <v>1.0779030568654913E-2</v>
      </c>
      <c r="AD10">
        <f t="shared" ca="1" si="2"/>
        <v>0.20873862316922573</v>
      </c>
      <c r="AF10" cm="1">
        <f t="array" aca="1" ref="AF10" ca="1">_xll.BDH($N10,$P$4,AF$5)</f>
        <v>-8.5000000000000006E-2</v>
      </c>
      <c r="AG10" cm="1">
        <f t="array" aca="1" ref="AG10" ca="1">_xll.BDH($N10,$P$4,AG$5)</f>
        <v>-8.5000000000000006E-2</v>
      </c>
      <c r="AH10" cm="1">
        <f t="array" aca="1" ref="AH10" ca="1">_xll.BDH($N10,$P$4,AH$5)</f>
        <v>-7.0000000000000007E-2</v>
      </c>
      <c r="AI10" cm="1">
        <f t="array" aca="1" ref="AI10" ca="1">IF(ISNUMBER(_xll.BDH($N10,$P$4,AI$5)),
   _xll.BDH($N10,$P$4,AI$5),
   LOOKUP(2, 1/(ISNUMBER(AF10:AH10)), AF10:AH10))</f>
        <v>-7.0000000000000007E-2</v>
      </c>
      <c r="AJ10" cm="1">
        <f t="array" aca="1" ref="AJ10" ca="1">IF(ISNUMBER(_xll.BDH($N10,$P$4,AJ$5)),
   _xll.BDH($N10,$P$4,AJ$5),
   LOOKUP(2, 1/(ISNUMBER(AG10:AI10)), AG10:AI10))</f>
        <v>-0.06</v>
      </c>
      <c r="AK10" cm="1">
        <f t="array" aca="1" ref="AK10" ca="1">IF(ISNUMBER(_xll.BDH($N10,$P$4,AK$5)),
   _xll.BDH($N10,$P$4,AK$5),
   LOOKUP(2, 1/(ISNUMBER(AH10:AJ10)), AH10:AJ10))</f>
        <v>-6.5000000000000002E-2</v>
      </c>
      <c r="AL10" cm="1">
        <f t="array" aca="1" ref="AL10" ca="1">IF(ISNUMBER(_xll.BDH($N10,$P$4,AL$5)),
   _xll.BDH($N10,$P$4,AL$5),
   LOOKUP(2, 1/(ISNUMBER(AI10:AK10)), AI10:AK10))</f>
        <v>-0.06</v>
      </c>
      <c r="AM10" cm="1">
        <f t="array" aca="1" ref="AM10" ca="1">IF(ISNUMBER(_xll.BDH($N10,$P$4,AM$5)),
   _xll.BDH($N10,$P$4,AM$5),
   LOOKUP(2, 1/(ISNUMBER(AJ10:AL10)), AJ10:AL10))</f>
        <v>-0.06</v>
      </c>
      <c r="AN10" cm="1">
        <f t="array" aca="1" ref="AN10" ca="1">IF(ISNUMBER(_xll.BDH($N10,$P$4,AN$5)),
   _xll.BDH($N10,$P$4,AN$5),
   LOOKUP(2, 1/(ISNUMBER(AK10:AM10)), AK10:AM10))</f>
        <v>-5.5E-2</v>
      </c>
      <c r="AO10" cm="1">
        <f t="array" aca="1" ref="AO10" ca="1">IF(ISNUMBER(_xll.BDH($N10,$P$4,AO$5)),
   _xll.BDH($N10,$P$4,AO$5),
   LOOKUP(2, 1/(ISNUMBER(AL10:AN10)), AL10:AN10))</f>
        <v>-3.5000000000000003E-2</v>
      </c>
      <c r="AP10" cm="1">
        <f t="array" aca="1" ref="AP10" ca="1">IF(ISNUMBER(_xll.BDH($N10,$P$4,AP$5)),
   _xll.BDH($N10,$P$4,AP$5),
   LOOKUP(2, 1/(ISNUMBER(AM10:AO10)), AM10:AO10))</f>
        <v>-4.4999999999999998E-2</v>
      </c>
      <c r="AQ10" cm="1">
        <f t="array" aca="1" ref="AQ10" ca="1">IF(ISNUMBER(_xll.BDH($N10,$P$4,AQ$5)),
   _xll.BDH($N10,$P$4,AQ$5),
   LOOKUP(2, 1/(ISNUMBER(AN10:AP10)), AN10:AP10))</f>
        <v>-4.4999999999999998E-2</v>
      </c>
      <c r="AR10" cm="1">
        <f t="array" aca="1" ref="AR10" ca="1">IF(ISNUMBER(_xll.BDH($N10,$P$4,AR$5)),
   _xll.BDH($N10,$P$4,AR$5),
   LOOKUP(2, 1/(ISNUMBER(AO10:AQ10)), AO10:AQ10))</f>
        <v>-4.4999999999999998E-2</v>
      </c>
      <c r="AS10" cm="1">
        <f t="array" aca="1" ref="AS10" ca="1">IF(ISNUMBER(_xll.BDH($N10,$P$4,AS$5)),
   _xll.BDH($N10,$P$4,AS$5),
   LOOKUP(2, 1/(ISNUMBER(AP10:AR10)), AP10:AR10))</f>
        <v>-0.05</v>
      </c>
      <c r="AT10" cm="1">
        <f t="array" aca="1" ref="AT10" ca="1">IF(ISNUMBER(_xll.BDH($N10,$P$4,AT$5)),
   _xll.BDH($N10,$P$4,AT$5),
   LOOKUP(2, 1/(ISNUMBER(AQ10:AS10)), AQ10:AS10))</f>
        <v>-3.5000000000000003E-2</v>
      </c>
      <c r="AU10" cm="1">
        <f t="array" aca="1" ref="AU10" ca="1">IF(ISNUMBER(_xll.BDH($N10,$P$4,AU$5)),
   _xll.BDH($N10,$P$4,AU$5),
   LOOKUP(2, 1/(ISNUMBER(AR10:AT10)), AR10:AT10))</f>
        <v>-0.03</v>
      </c>
      <c r="AV10" cm="1">
        <f t="array" aca="1" ref="AV10" ca="1">IF(ISNUMBER(_xll.BDH($N10,$P$4,AV$5)),
   _xll.BDH($N10,$P$4,AV$5),
   LOOKUP(2, 1/(ISNUMBER(AS10:AU10)), AS10:AU10))</f>
        <v>-0.04</v>
      </c>
      <c r="AW10" cm="1">
        <f t="array" aca="1" ref="AW10" ca="1">IF(ISNUMBER(_xll.BDH($N10,$P$4,AW$5)),
   _xll.BDH($N10,$P$4,AW$5),
   LOOKUP(2, 1/(ISNUMBER(AT10:AV10)), AT10:AV10))</f>
        <v>-4.4999999999999998E-2</v>
      </c>
      <c r="AX10" cm="1">
        <f t="array" aca="1" ref="AX10" ca="1">IF(ISNUMBER(_xll.BDH($N10,$P$4,AX$5)),
   _xll.BDH($N10,$P$4,AX$5),
   LOOKUP(2, 1/(ISNUMBER(AU10:AW10)), AU10:AW10))</f>
        <v>-0.04</v>
      </c>
      <c r="AY10" cm="1">
        <f t="array" aca="1" ref="AY10" ca="1">IF(ISNUMBER(_xll.BDH($N10,$P$4,AY$5)),
   _xll.BDH($N10,$P$4,AY$5),
   LOOKUP(2, 1/(ISNUMBER(AV10:AX10)), AV10:AX10))</f>
        <v>-4.4999999999999998E-2</v>
      </c>
      <c r="AZ10" cm="1">
        <f t="array" aca="1" ref="AZ10" ca="1">IF(ISNUMBER(_xll.BDH($N10,$P$4,AZ$5)),
   _xll.BDH($N10,$P$4,AZ$5),
   LOOKUP(2, 1/(ISNUMBER(AW10:AY10)), AW10:AY10))</f>
        <v>-0.04</v>
      </c>
      <c r="BA10" cm="1">
        <f t="array" aca="1" ref="BA10" ca="1">IF(ISNUMBER(_xll.BDH($N10,$P$4,BA$5)),
   _xll.BDH($N10,$P$4,BA$5),
   LOOKUP(2, 1/(ISNUMBER(AX10:AZ10)), AX10:AZ10))</f>
        <v>-4.4999999999999998E-2</v>
      </c>
      <c r="BB10" cm="1">
        <f t="array" aca="1" ref="BB10" ca="1">IF(ISNUMBER(_xll.BDH($N10,$P$4,BB$5)),
   _xll.BDH($N10,$P$4,BB$5),
   LOOKUP(2, 1/(ISNUMBER(AY10:BA10)), AY10:BA10))</f>
        <v>-3.5000000000000003E-2</v>
      </c>
      <c r="BC10">
        <f t="shared" si="3"/>
        <v>-4.4999999999999998E-2</v>
      </c>
    </row>
    <row r="11" spans="2:55" x14ac:dyDescent="0.25">
      <c r="B11" t="s">
        <v>52</v>
      </c>
      <c r="C11" t="s">
        <v>53</v>
      </c>
      <c r="D11">
        <v>4804</v>
      </c>
      <c r="E11">
        <v>0.02</v>
      </c>
      <c r="F11">
        <v>2.5000000000000001E-2</v>
      </c>
      <c r="G11">
        <v>1974</v>
      </c>
      <c r="H11">
        <v>3002</v>
      </c>
      <c r="I11">
        <v>2.5000000000000001E-2</v>
      </c>
      <c r="J11" t="s">
        <v>116</v>
      </c>
      <c r="K11" t="s">
        <v>23</v>
      </c>
      <c r="N11" t="str">
        <f t="shared" si="1"/>
        <v>SFIU6Z6 comdty</v>
      </c>
      <c r="X11" s="2"/>
      <c r="Y11" s="2"/>
      <c r="Z11" s="2"/>
      <c r="AB11">
        <f t="shared" ca="1" si="4"/>
        <v>3.2250000000000015E-2</v>
      </c>
      <c r="AC11">
        <f t="shared" ca="1" si="5"/>
        <v>1.279404158192397E-2</v>
      </c>
      <c r="AD11">
        <f t="shared" ca="1" si="2"/>
        <v>-1.3482838780492659</v>
      </c>
      <c r="AF11" cm="1">
        <f t="array" aca="1" ref="AF11" ca="1">_xll.BDH($N11,$P$4,AF$5)</f>
        <v>4.4999999999999998E-2</v>
      </c>
      <c r="AG11" cm="1">
        <f t="array" aca="1" ref="AG11" ca="1">_xll.BDH($N11,$P$4,AG$5)</f>
        <v>0.08</v>
      </c>
      <c r="AH11" cm="1">
        <f t="array" aca="1" ref="AH11" ca="1">_xll.BDH($N11,$P$4,AH$5)</f>
        <v>5.5E-2</v>
      </c>
      <c r="AI11" cm="1">
        <f t="array" aca="1" ref="AI11" ca="1">IF(ISNUMBER(_xll.BDH($N11,$P$4,AI$5)),
   _xll.BDH($N11,$P$4,AI$5),
   LOOKUP(2, 1/(ISNUMBER(AF11:AH11)), AF11:AH11))</f>
        <v>2.5000000000000001E-2</v>
      </c>
      <c r="AJ11" cm="1">
        <f t="array" aca="1" ref="AJ11" ca="1">IF(ISNUMBER(_xll.BDH($N11,$P$4,AJ$5)),
   _xll.BDH($N11,$P$4,AJ$5),
   LOOKUP(2, 1/(ISNUMBER(AG11:AI11)), AG11:AI11))</f>
        <v>0.03</v>
      </c>
      <c r="AK11" cm="1">
        <f t="array" aca="1" ref="AK11" ca="1">IF(ISNUMBER(_xll.BDH($N11,$P$4,AK$5)),
   _xll.BDH($N11,$P$4,AK$5),
   LOOKUP(2, 1/(ISNUMBER(AH11:AJ11)), AH11:AJ11))</f>
        <v>5.5E-2</v>
      </c>
      <c r="AL11" cm="1">
        <f t="array" aca="1" ref="AL11" ca="1">IF(ISNUMBER(_xll.BDH($N11,$P$4,AL$5)),
   _xll.BDH($N11,$P$4,AL$5),
   LOOKUP(2, 1/(ISNUMBER(AI11:AK11)), AI11:AK11))</f>
        <v>5.5E-2</v>
      </c>
      <c r="AM11" cm="1">
        <f t="array" aca="1" ref="AM11" ca="1">IF(ISNUMBER(_xll.BDH($N11,$P$4,AM$5)),
   _xll.BDH($N11,$P$4,AM$5),
   LOOKUP(2, 1/(ISNUMBER(AJ11:AL11)), AJ11:AL11))</f>
        <v>0.04</v>
      </c>
      <c r="AN11" cm="1">
        <f t="array" aca="1" ref="AN11" ca="1">IF(ISNUMBER(_xll.BDH($N11,$P$4,AN$5)),
   _xll.BDH($N11,$P$4,AN$5),
   LOOKUP(2, 1/(ISNUMBER(AK11:AM11)), AK11:AM11))</f>
        <v>0.03</v>
      </c>
      <c r="AO11" cm="1">
        <f t="array" aca="1" ref="AO11" ca="1">IF(ISNUMBER(_xll.BDH($N11,$P$4,AO$5)),
   _xll.BDH($N11,$P$4,AO$5),
   LOOKUP(2, 1/(ISNUMBER(AL11:AN11)), AL11:AN11))</f>
        <v>0.03</v>
      </c>
      <c r="AP11" cm="1">
        <f t="array" aca="1" ref="AP11" ca="1">IF(ISNUMBER(_xll.BDH($N11,$P$4,AP$5)),
   _xll.BDH($N11,$P$4,AP$5),
   LOOKUP(2, 1/(ISNUMBER(AM11:AO11)), AM11:AO11))</f>
        <v>3.5000000000000003E-2</v>
      </c>
      <c r="AQ11" cm="1">
        <f t="array" aca="1" ref="AQ11" ca="1">IF(ISNUMBER(_xll.BDH($N11,$P$4,AQ$5)),
   _xll.BDH($N11,$P$4,AQ$5),
   LOOKUP(2, 1/(ISNUMBER(AN11:AP11)), AN11:AP11))</f>
        <v>3.5000000000000003E-2</v>
      </c>
      <c r="AR11" cm="1">
        <f t="array" aca="1" ref="AR11" ca="1">IF(ISNUMBER(_xll.BDH($N11,$P$4,AR$5)),
   _xll.BDH($N11,$P$4,AR$5),
   LOOKUP(2, 1/(ISNUMBER(AO11:AQ11)), AO11:AQ11))</f>
        <v>3.5000000000000003E-2</v>
      </c>
      <c r="AS11" cm="1">
        <f t="array" aca="1" ref="AS11" ca="1">IF(ISNUMBER(_xll.BDH($N11,$P$4,AS$5)),
   _xll.BDH($N11,$P$4,AS$5),
   LOOKUP(2, 1/(ISNUMBER(AP11:AR11)), AP11:AR11))</f>
        <v>4.4999999999999998E-2</v>
      </c>
      <c r="AT11" cm="1">
        <f t="array" aca="1" ref="AT11" ca="1">IF(ISNUMBER(_xll.BDH($N11,$P$4,AT$5)),
   _xll.BDH($N11,$P$4,AT$5),
   LOOKUP(2, 1/(ISNUMBER(AQ11:AS11)), AQ11:AS11))</f>
        <v>1.4999999999999999E-2</v>
      </c>
      <c r="AU11" cm="1">
        <f t="array" aca="1" ref="AU11" ca="1">IF(ISNUMBER(_xll.BDH($N11,$P$4,AU$5)),
   _xll.BDH($N11,$P$4,AU$5),
   LOOKUP(2, 1/(ISNUMBER(AR11:AT11)), AR11:AT11))</f>
        <v>0.03</v>
      </c>
      <c r="AV11" cm="1">
        <f t="array" aca="1" ref="AV11" ca="1">IF(ISNUMBER(_xll.BDH($N11,$P$4,AV$5)),
   _xll.BDH($N11,$P$4,AV$5),
   LOOKUP(2, 1/(ISNUMBER(AS11:AU11)), AS11:AU11))</f>
        <v>0.04</v>
      </c>
      <c r="AW11" cm="1">
        <f t="array" aca="1" ref="AW11" ca="1">IF(ISNUMBER(_xll.BDH($N11,$P$4,AW$5)),
   _xll.BDH($N11,$P$4,AW$5),
   LOOKUP(2, 1/(ISNUMBER(AT11:AV11)), AT11:AV11))</f>
        <v>4.4999999999999998E-2</v>
      </c>
      <c r="AX11" cm="1">
        <f t="array" aca="1" ref="AX11" ca="1">IF(ISNUMBER(_xll.BDH($N11,$P$4,AX$5)),
   _xll.BDH($N11,$P$4,AX$5),
   LOOKUP(2, 1/(ISNUMBER(AU11:AW11)), AU11:AW11))</f>
        <v>0.03</v>
      </c>
      <c r="AY11" cm="1">
        <f t="array" aca="1" ref="AY11" ca="1">IF(ISNUMBER(_xll.BDH($N11,$P$4,AY$5)),
   _xll.BDH($N11,$P$4,AY$5),
   LOOKUP(2, 1/(ISNUMBER(AV11:AX11)), AV11:AX11))</f>
        <v>0.03</v>
      </c>
      <c r="AZ11" cm="1">
        <f t="array" aca="1" ref="AZ11" ca="1">IF(ISNUMBER(_xll.BDH($N11,$P$4,AZ$5)),
   _xll.BDH($N11,$P$4,AZ$5),
   LOOKUP(2, 1/(ISNUMBER(AW11:AY11)), AW11:AY11))</f>
        <v>2.5000000000000001E-2</v>
      </c>
      <c r="BA11" cm="1">
        <f t="array" aca="1" ref="BA11" ca="1">IF(ISNUMBER(_xll.BDH($N11,$P$4,BA$5)),
   _xll.BDH($N11,$P$4,BA$5),
   LOOKUP(2, 1/(ISNUMBER(AX11:AZ11)), AX11:AZ11))</f>
        <v>0</v>
      </c>
      <c r="BB11" cm="1">
        <f t="array" aca="1" ref="BB11" ca="1">IF(ISNUMBER(_xll.BDH($N11,$P$4,BB$5)),
   _xll.BDH($N11,$P$4,BB$5),
   LOOKUP(2, 1/(ISNUMBER(AY11:BA11)), AY11:BA11))</f>
        <v>1.4999999999999999E-2</v>
      </c>
      <c r="BC11">
        <f t="shared" si="3"/>
        <v>1.4999999999999999E-2</v>
      </c>
    </row>
    <row r="12" spans="2:55" x14ac:dyDescent="0.25">
      <c r="B12" t="s">
        <v>56</v>
      </c>
      <c r="C12" t="s">
        <v>57</v>
      </c>
      <c r="D12">
        <v>7365</v>
      </c>
      <c r="E12">
        <v>-5.5E-2</v>
      </c>
      <c r="F12">
        <v>-0.05</v>
      </c>
      <c r="G12">
        <v>808</v>
      </c>
      <c r="H12">
        <v>2602</v>
      </c>
      <c r="I12">
        <v>-0.05</v>
      </c>
      <c r="J12" t="s">
        <v>117</v>
      </c>
      <c r="K12" t="s">
        <v>23</v>
      </c>
      <c r="N12" t="str">
        <f t="shared" si="1"/>
        <v>SFIZ6M7 comdty</v>
      </c>
      <c r="X12" s="2"/>
      <c r="Y12" s="2"/>
      <c r="Z12" s="2"/>
      <c r="AB12">
        <f t="shared" ca="1" si="4"/>
        <v>-4.6750000000000021E-2</v>
      </c>
      <c r="AC12">
        <f t="shared" ca="1" si="5"/>
        <v>1.277448629104117E-2</v>
      </c>
      <c r="AD12">
        <f t="shared" ca="1" si="2"/>
        <v>-0.25441336159867567</v>
      </c>
      <c r="AF12" cm="1">
        <f t="array" aca="1" ref="AF12" ca="1">_xll.BDH($N12,$P$4,AF$5)</f>
        <v>-0.11</v>
      </c>
      <c r="AG12" cm="1">
        <f t="array" aca="1" ref="AG12" ca="1">_xll.BDH($N12,$P$4,AG$5)</f>
        <v>-0.1</v>
      </c>
      <c r="AH12" cm="1">
        <f t="array" aca="1" ref="AH12" ca="1">_xll.BDH($N12,$P$4,AH$5)</f>
        <v>-0.06</v>
      </c>
      <c r="AI12" cm="1">
        <f t="array" aca="1" ref="AI12" ca="1">IF(ISNUMBER(_xll.BDH($N12,$P$4,AI$5)),
   _xll.BDH($N12,$P$4,AI$5),
   LOOKUP(2, 1/(ISNUMBER(AF12:AH12)), AF12:AH12))</f>
        <v>-7.4999999999999997E-2</v>
      </c>
      <c r="AJ12" cm="1">
        <f t="array" aca="1" ref="AJ12" ca="1">IF(ISNUMBER(_xll.BDH($N12,$P$4,AJ$5)),
   _xll.BDH($N12,$P$4,AJ$5),
   LOOKUP(2, 1/(ISNUMBER(AG12:AI12)), AG12:AI12))</f>
        <v>-0.06</v>
      </c>
      <c r="AK12" cm="1">
        <f t="array" aca="1" ref="AK12" ca="1">IF(ISNUMBER(_xll.BDH($N12,$P$4,AK$5)),
   _xll.BDH($N12,$P$4,AK$5),
   LOOKUP(2, 1/(ISNUMBER(AH12:AJ12)), AH12:AJ12))</f>
        <v>-0.05</v>
      </c>
      <c r="AL12" cm="1">
        <f t="array" aca="1" ref="AL12" ca="1">IF(ISNUMBER(_xll.BDH($N12,$P$4,AL$5)),
   _xll.BDH($N12,$P$4,AL$5),
   LOOKUP(2, 1/(ISNUMBER(AI12:AK12)), AI12:AK12))</f>
        <v>-4.4999999999999998E-2</v>
      </c>
      <c r="AM12" cm="1">
        <f t="array" aca="1" ref="AM12" ca="1">IF(ISNUMBER(_xll.BDH($N12,$P$4,AM$5)),
   _xll.BDH($N12,$P$4,AM$5),
   LOOKUP(2, 1/(ISNUMBER(AJ12:AL12)), AJ12:AL12))</f>
        <v>-0.06</v>
      </c>
      <c r="AN12" cm="1">
        <f t="array" aca="1" ref="AN12" ca="1">IF(ISNUMBER(_xll.BDH($N12,$P$4,AN$5)),
   _xll.BDH($N12,$P$4,AN$5),
   LOOKUP(2, 1/(ISNUMBER(AK12:AM12)), AK12:AM12))</f>
        <v>-5.5E-2</v>
      </c>
      <c r="AO12" cm="1">
        <f t="array" aca="1" ref="AO12" ca="1">IF(ISNUMBER(_xll.BDH($N12,$P$4,AO$5)),
   _xll.BDH($N12,$P$4,AO$5),
   LOOKUP(2, 1/(ISNUMBER(AL12:AN12)), AL12:AN12))</f>
        <v>-2.5000000000000001E-2</v>
      </c>
      <c r="AP12" cm="1">
        <f t="array" aca="1" ref="AP12" ca="1">IF(ISNUMBER(_xll.BDH($N12,$P$4,AP$5)),
   _xll.BDH($N12,$P$4,AP$5),
   LOOKUP(2, 1/(ISNUMBER(AM12:AO12)), AM12:AO12))</f>
        <v>-3.5000000000000003E-2</v>
      </c>
      <c r="AQ12" cm="1">
        <f t="array" aca="1" ref="AQ12" ca="1">IF(ISNUMBER(_xll.BDH($N12,$P$4,AQ$5)),
   _xll.BDH($N12,$P$4,AQ$5),
   LOOKUP(2, 1/(ISNUMBER(AN12:AP12)), AN12:AP12))</f>
        <v>-3.5000000000000003E-2</v>
      </c>
      <c r="AR12" cm="1">
        <f t="array" aca="1" ref="AR12" ca="1">IF(ISNUMBER(_xll.BDH($N12,$P$4,AR$5)),
   _xll.BDH($N12,$P$4,AR$5),
   LOOKUP(2, 1/(ISNUMBER(AO12:AQ12)), AO12:AQ12))</f>
        <v>-3.5000000000000003E-2</v>
      </c>
      <c r="AS12" cm="1">
        <f t="array" aca="1" ref="AS12" ca="1">IF(ISNUMBER(_xll.BDH($N12,$P$4,AS$5)),
   _xll.BDH($N12,$P$4,AS$5),
   LOOKUP(2, 1/(ISNUMBER(AP12:AR12)), AP12:AR12))</f>
        <v>-0.04</v>
      </c>
      <c r="AT12" cm="1">
        <f t="array" aca="1" ref="AT12" ca="1">IF(ISNUMBER(_xll.BDH($N12,$P$4,AT$5)),
   _xll.BDH($N12,$P$4,AT$5),
   LOOKUP(2, 1/(ISNUMBER(AQ12:AS12)), AQ12:AS12))</f>
        <v>-0.04</v>
      </c>
      <c r="AU12" cm="1">
        <f t="array" aca="1" ref="AU12" ca="1">IF(ISNUMBER(_xll.BDH($N12,$P$4,AU$5)),
   _xll.BDH($N12,$P$4,AU$5),
   LOOKUP(2, 1/(ISNUMBER(AR12:AT12)), AR12:AT12))</f>
        <v>-2.5000000000000001E-2</v>
      </c>
      <c r="AV12" cm="1">
        <f t="array" aca="1" ref="AV12" ca="1">IF(ISNUMBER(_xll.BDH($N12,$P$4,AV$5)),
   _xll.BDH($N12,$P$4,AV$5),
   LOOKUP(2, 1/(ISNUMBER(AS12:AU12)), AS12:AU12))</f>
        <v>-0.04</v>
      </c>
      <c r="AW12" cm="1">
        <f t="array" aca="1" ref="AW12" ca="1">IF(ISNUMBER(_xll.BDH($N12,$P$4,AW$5)),
   _xll.BDH($N12,$P$4,AW$5),
   LOOKUP(2, 1/(ISNUMBER(AT12:AV12)), AT12:AV12))</f>
        <v>-4.4999999999999998E-2</v>
      </c>
      <c r="AX12" cm="1">
        <f t="array" aca="1" ref="AX12" ca="1">IF(ISNUMBER(_xll.BDH($N12,$P$4,AX$5)),
   _xll.BDH($N12,$P$4,AX$5),
   LOOKUP(2, 1/(ISNUMBER(AU12:AW12)), AU12:AW12))</f>
        <v>-0.05</v>
      </c>
      <c r="AY12" cm="1">
        <f t="array" aca="1" ref="AY12" ca="1">IF(ISNUMBER(_xll.BDH($N12,$P$4,AY$5)),
   _xll.BDH($N12,$P$4,AY$5),
   LOOKUP(2, 1/(ISNUMBER(AV12:AX12)), AV12:AX12))</f>
        <v>-0.06</v>
      </c>
      <c r="AZ12" cm="1">
        <f t="array" aca="1" ref="AZ12" ca="1">IF(ISNUMBER(_xll.BDH($N12,$P$4,AZ$5)),
   _xll.BDH($N12,$P$4,AZ$5),
   LOOKUP(2, 1/(ISNUMBER(AW12:AY12)), AW12:AY12))</f>
        <v>-0.05</v>
      </c>
      <c r="BA12" cm="1">
        <f t="array" aca="1" ref="BA12" ca="1">IF(ISNUMBER(_xll.BDH($N12,$P$4,BA$5)),
   _xll.BDH($N12,$P$4,BA$5),
   LOOKUP(2, 1/(ISNUMBER(AX12:AZ12)), AX12:AZ12))</f>
        <v>-6.5000000000000002E-2</v>
      </c>
      <c r="BB12" cm="1">
        <f t="array" aca="1" ref="BB12" ca="1">IF(ISNUMBER(_xll.BDH($N12,$P$4,BB$5)),
   _xll.BDH($N12,$P$4,BB$5),
   LOOKUP(2, 1/(ISNUMBER(AY12:BA12)), AY12:BA12))</f>
        <v>-4.4999999999999998E-2</v>
      </c>
      <c r="BC12">
        <f t="shared" si="3"/>
        <v>-0.05</v>
      </c>
    </row>
    <row r="13" spans="2:55" x14ac:dyDescent="0.25">
      <c r="B13" t="s">
        <v>118</v>
      </c>
      <c r="C13" t="s">
        <v>119</v>
      </c>
      <c r="D13">
        <v>29</v>
      </c>
      <c r="E13">
        <v>95.983750000000001</v>
      </c>
      <c r="F13">
        <v>95.986249999999998</v>
      </c>
      <c r="G13">
        <v>16</v>
      </c>
      <c r="H13">
        <v>2440</v>
      </c>
      <c r="I13">
        <v>95.983750000000001</v>
      </c>
      <c r="J13" t="s">
        <v>120</v>
      </c>
      <c r="K13" t="s">
        <v>40</v>
      </c>
      <c r="N13" t="str">
        <f t="shared" si="1"/>
        <v>SFI2YM6 comdty</v>
      </c>
      <c r="X13" s="2"/>
      <c r="Y13" s="2"/>
      <c r="Z13" s="2"/>
      <c r="AB13">
        <f t="shared" ca="1" si="4"/>
        <v>95.85187599999999</v>
      </c>
      <c r="AC13">
        <f t="shared" ca="1" si="5"/>
        <v>0.12496767087530979</v>
      </c>
      <c r="AD13">
        <f t="shared" ca="1" si="2"/>
        <v>1.0552649263311604</v>
      </c>
      <c r="AF13" cm="1">
        <f t="array" aca="1" ref="AF13" ca="1">_xll.BDH($N13,$P$4,AF$5)</f>
        <v>95.731250000000003</v>
      </c>
      <c r="AG13" cm="1">
        <f t="array" aca="1" ref="AG13" ca="1">_xll.BDH($N13,$P$4,AG$5)</f>
        <v>95.551879999999997</v>
      </c>
      <c r="AH13" cm="1">
        <f t="array" aca="1" ref="AH13" ca="1">_xll.BDH($N13,$P$4,AH$5)</f>
        <v>95.691879999999998</v>
      </c>
      <c r="AI13" cm="1">
        <f t="array" aca="1" ref="AI13" ca="1">IF(ISNUMBER(_xll.BDH($N13,$P$4,AI$5)),
   _xll.BDH($N13,$P$4,AI$5),
   LOOKUP(2, 1/(ISNUMBER(AF13:AH13)), AF13:AH13))</f>
        <v>95.7</v>
      </c>
      <c r="AJ13" cm="1">
        <f t="array" aca="1" ref="AJ13" ca="1">IF(ISNUMBER(_xll.BDH($N13,$P$4,AJ$5)),
   _xll.BDH($N13,$P$4,AJ$5),
   LOOKUP(2, 1/(ISNUMBER(AG13:AI13)), AG13:AI13))</f>
        <v>95.759990000000002</v>
      </c>
      <c r="AK13" cm="1">
        <f t="array" aca="1" ref="AK13" ca="1">IF(ISNUMBER(_xll.BDH($N13,$P$4,AK$5)),
   _xll.BDH($N13,$P$4,AK$5),
   LOOKUP(2, 1/(ISNUMBER(AH13:AJ13)), AH13:AJ13))</f>
        <v>95.651880000000006</v>
      </c>
      <c r="AL13" cm="1">
        <f t="array" aca="1" ref="AL13" ca="1">IF(ISNUMBER(_xll.BDH($N13,$P$4,AL$5)),
   _xll.BDH($N13,$P$4,AL$5),
   LOOKUP(2, 1/(ISNUMBER(AI13:AK13)), AI13:AK13))</f>
        <v>95.66</v>
      </c>
      <c r="AM13" cm="1">
        <f t="array" aca="1" ref="AM13" ca="1">IF(ISNUMBER(_xll.BDH($N13,$P$4,AM$5)),
   _xll.BDH($N13,$P$4,AM$5),
   LOOKUP(2, 1/(ISNUMBER(AJ13:AL13)), AJ13:AL13))</f>
        <v>95.717500000000001</v>
      </c>
      <c r="AN13" cm="1">
        <f t="array" aca="1" ref="AN13" ca="1">IF(ISNUMBER(_xll.BDH($N13,$P$4,AN$5)),
   _xll.BDH($N13,$P$4,AN$5),
   LOOKUP(2, 1/(ISNUMBER(AK13:AM13)), AK13:AM13))</f>
        <v>95.755629999999996</v>
      </c>
      <c r="AO13" cm="1">
        <f t="array" aca="1" ref="AO13" ca="1">IF(ISNUMBER(_xll.BDH($N13,$P$4,AO$5)),
   _xll.BDH($N13,$P$4,AO$5),
   LOOKUP(2, 1/(ISNUMBER(AL13:AN13)), AL13:AN13))</f>
        <v>95.85812</v>
      </c>
      <c r="AP13" cm="1">
        <f t="array" aca="1" ref="AP13" ca="1">IF(ISNUMBER(_xll.BDH($N13,$P$4,AP$5)),
   _xll.BDH($N13,$P$4,AP$5),
   LOOKUP(2, 1/(ISNUMBER(AM13:AO13)), AM13:AO13))</f>
        <v>95.833749999999995</v>
      </c>
      <c r="AQ13" cm="1">
        <f t="array" aca="1" ref="AQ13" ca="1">IF(ISNUMBER(_xll.BDH($N13,$P$4,AQ$5)),
   _xll.BDH($N13,$P$4,AQ$5),
   LOOKUP(2, 1/(ISNUMBER(AN13:AP13)), AN13:AP13))</f>
        <v>95.833749999999995</v>
      </c>
      <c r="AR13" cm="1">
        <f t="array" aca="1" ref="AR13" ca="1">IF(ISNUMBER(_xll.BDH($N13,$P$4,AR$5)),
   _xll.BDH($N13,$P$4,AR$5),
   LOOKUP(2, 1/(ISNUMBER(AO13:AQ13)), AO13:AQ13))</f>
        <v>95.833749999999995</v>
      </c>
      <c r="AS13" cm="1">
        <f t="array" aca="1" ref="AS13" ca="1">IF(ISNUMBER(_xll.BDH($N13,$P$4,AS$5)),
   _xll.BDH($N13,$P$4,AS$5),
   LOOKUP(2, 1/(ISNUMBER(AP13:AR13)), AP13:AR13))</f>
        <v>95.714380000000006</v>
      </c>
      <c r="AT13" cm="1">
        <f t="array" aca="1" ref="AT13" ca="1">IF(ISNUMBER(_xll.BDH($N13,$P$4,AT$5)),
   _xll.BDH($N13,$P$4,AT$5),
   LOOKUP(2, 1/(ISNUMBER(AQ13:AS13)), AQ13:AS13))</f>
        <v>95.993129999999994</v>
      </c>
      <c r="AU13" cm="1">
        <f t="array" aca="1" ref="AU13" ca="1">IF(ISNUMBER(_xll.BDH($N13,$P$4,AU$5)),
   _xll.BDH($N13,$P$4,AU$5),
   LOOKUP(2, 1/(ISNUMBER(AR13:AT13)), AR13:AT13))</f>
        <v>95.932500000000005</v>
      </c>
      <c r="AV13" cm="1">
        <f t="array" aca="1" ref="AV13" ca="1">IF(ISNUMBER(_xll.BDH($N13,$P$4,AV$5)),
   _xll.BDH($N13,$P$4,AV$5),
   LOOKUP(2, 1/(ISNUMBER(AS13:AU13)), AS13:AU13))</f>
        <v>95.92313</v>
      </c>
      <c r="AW13" cm="1">
        <f t="array" aca="1" ref="AW13" ca="1">IF(ISNUMBER(_xll.BDH($N13,$P$4,AW$5)),
   _xll.BDH($N13,$P$4,AW$5),
   LOOKUP(2, 1/(ISNUMBER(AT13:AV13)), AT13:AV13))</f>
        <v>95.862499999999997</v>
      </c>
      <c r="AX13" cm="1">
        <f t="array" aca="1" ref="AX13" ca="1">IF(ISNUMBER(_xll.BDH($N13,$P$4,AX$5)),
   _xll.BDH($N13,$P$4,AX$5),
   LOOKUP(2, 1/(ISNUMBER(AU13:AW13)), AU13:AW13))</f>
        <v>95.957499999999996</v>
      </c>
      <c r="AY13" cm="1">
        <f t="array" aca="1" ref="AY13" ca="1">IF(ISNUMBER(_xll.BDH($N13,$P$4,AY$5)),
   _xll.BDH($N13,$P$4,AY$5),
   LOOKUP(2, 1/(ISNUMBER(AV13:AX13)), AV13:AX13))</f>
        <v>95.966250000000002</v>
      </c>
      <c r="AZ13" cm="1">
        <f t="array" aca="1" ref="AZ13" ca="1">IF(ISNUMBER(_xll.BDH($N13,$P$4,AZ$5)),
   _xll.BDH($N13,$P$4,AZ$5),
   LOOKUP(2, 1/(ISNUMBER(AW13:AY13)), AW13:AY13))</f>
        <v>95.966880000000003</v>
      </c>
      <c r="BA13" cm="1">
        <f t="array" aca="1" ref="BA13" ca="1">IF(ISNUMBER(_xll.BDH($N13,$P$4,BA$5)),
   _xll.BDH($N13,$P$4,BA$5),
   LOOKUP(2, 1/(ISNUMBER(AX13:AZ13)), AX13:AZ13))</f>
        <v>96.092500000000001</v>
      </c>
      <c r="BB13" cm="1">
        <f t="array" aca="1" ref="BB13" ca="1">IF(ISNUMBER(_xll.BDH($N13,$P$4,BB$5)),
   _xll.BDH($N13,$P$4,BB$5),
   LOOKUP(2, 1/(ISNUMBER(AY13:BA13)), AY13:BA13))</f>
        <v>96.024379999999994</v>
      </c>
      <c r="BC13">
        <f t="shared" si="3"/>
        <v>95.983750000000001</v>
      </c>
    </row>
    <row r="14" spans="2:55" x14ac:dyDescent="0.25">
      <c r="B14" t="s">
        <v>54</v>
      </c>
      <c r="C14" t="s">
        <v>55</v>
      </c>
      <c r="D14">
        <v>164</v>
      </c>
      <c r="E14">
        <v>-0.09</v>
      </c>
      <c r="F14">
        <v>-8.5000000000000006E-2</v>
      </c>
      <c r="G14">
        <v>10553</v>
      </c>
      <c r="H14">
        <v>2420</v>
      </c>
      <c r="I14">
        <v>-0.09</v>
      </c>
      <c r="J14" t="s">
        <v>112</v>
      </c>
      <c r="K14" t="s">
        <v>23</v>
      </c>
      <c r="N14" t="str">
        <f t="shared" si="1"/>
        <v>SFIM7Z7 comdty</v>
      </c>
      <c r="X14" s="2"/>
      <c r="Y14" s="2"/>
      <c r="Z14" s="2"/>
      <c r="AB14">
        <f t="shared" ca="1" si="4"/>
        <v>-0.14499999999999999</v>
      </c>
      <c r="AC14">
        <f t="shared" ca="1" si="5"/>
        <v>3.7316216314090538E-2</v>
      </c>
      <c r="AD14">
        <f t="shared" ca="1" si="2"/>
        <v>1.3399000471845823</v>
      </c>
      <c r="AF14" cm="1">
        <f t="array" aca="1" ref="AF14" ca="1">_xll.BDH($N14,$P$4,AF$5)</f>
        <v>-0.16</v>
      </c>
      <c r="AG14" cm="1">
        <f t="array" aca="1" ref="AG14" ca="1">_xll.BDH($N14,$P$4,AG$5)</f>
        <v>-0.2</v>
      </c>
      <c r="AH14" cm="1">
        <f t="array" aca="1" ref="AH14" ca="1">_xll.BDH($N14,$P$4,AH$5)</f>
        <v>-0.185</v>
      </c>
      <c r="AI14" cm="1">
        <f t="array" aca="1" ref="AI14" ca="1">IF(ISNUMBER(_xll.BDH($N14,$P$4,AI$5)),
   _xll.BDH($N14,$P$4,AI$5),
   LOOKUP(2, 1/(ISNUMBER(AF14:AH14)), AF14:AH14))</f>
        <v>-0.19500000000000001</v>
      </c>
      <c r="AJ14" cm="1">
        <f t="array" aca="1" ref="AJ14" ca="1">IF(ISNUMBER(_xll.BDH($N14,$P$4,AJ$5)),
   _xll.BDH($N14,$P$4,AJ$5),
   LOOKUP(2, 1/(ISNUMBER(AG14:AI14)), AG14:AI14))</f>
        <v>-0.19</v>
      </c>
      <c r="AK14" cm="1">
        <f t="array" aca="1" ref="AK14" ca="1">IF(ISNUMBER(_xll.BDH($N14,$P$4,AK$5)),
   _xll.BDH($N14,$P$4,AK$5),
   LOOKUP(2, 1/(ISNUMBER(AH14:AJ14)), AH14:AJ14))</f>
        <v>-0.19500000000000001</v>
      </c>
      <c r="AL14" cm="1">
        <f t="array" aca="1" ref="AL14" ca="1">IF(ISNUMBER(_xll.BDH($N14,$P$4,AL$5)),
   _xll.BDH($N14,$P$4,AL$5),
   LOOKUP(2, 1/(ISNUMBER(AI14:AK14)), AI14:AK14))</f>
        <v>-0.19500000000000001</v>
      </c>
      <c r="AM14" cm="1">
        <f t="array" aca="1" ref="AM14" ca="1">IF(ISNUMBER(_xll.BDH($N14,$P$4,AM$5)),
   _xll.BDH($N14,$P$4,AM$5),
   LOOKUP(2, 1/(ISNUMBER(AJ14:AL14)), AJ14:AL14))</f>
        <v>-0.18</v>
      </c>
      <c r="AN14" cm="1">
        <f t="array" aca="1" ref="AN14" ca="1">IF(ISNUMBER(_xll.BDH($N14,$P$4,AN$5)),
   _xll.BDH($N14,$P$4,AN$5),
   LOOKUP(2, 1/(ISNUMBER(AK14:AM14)), AK14:AM14))</f>
        <v>-0.16500000000000001</v>
      </c>
      <c r="AO14" cm="1">
        <f t="array" aca="1" ref="AO14" ca="1">IF(ISNUMBER(_xll.BDH($N14,$P$4,AO$5)),
   _xll.BDH($N14,$P$4,AO$5),
   LOOKUP(2, 1/(ISNUMBER(AL14:AN14)), AL14:AN14))</f>
        <v>-0.14499999999999999</v>
      </c>
      <c r="AP14" cm="1">
        <f t="array" aca="1" ref="AP14" ca="1">IF(ISNUMBER(_xll.BDH($N14,$P$4,AP$5)),
   _xll.BDH($N14,$P$4,AP$5),
   LOOKUP(2, 1/(ISNUMBER(AM14:AO14)), AM14:AO14))</f>
        <v>-0.16500000000000001</v>
      </c>
      <c r="AQ14" cm="1">
        <f t="array" aca="1" ref="AQ14" ca="1">IF(ISNUMBER(_xll.BDH($N14,$P$4,AQ$5)),
   _xll.BDH($N14,$P$4,AQ$5),
   LOOKUP(2, 1/(ISNUMBER(AN14:AP14)), AN14:AP14))</f>
        <v>-0.16500000000000001</v>
      </c>
      <c r="AR14" cm="1">
        <f t="array" aca="1" ref="AR14" ca="1">IF(ISNUMBER(_xll.BDH($N14,$P$4,AR$5)),
   _xll.BDH($N14,$P$4,AR$5),
   LOOKUP(2, 1/(ISNUMBER(AO14:AQ14)), AO14:AQ14))</f>
        <v>-0.16500000000000001</v>
      </c>
      <c r="AS14" cm="1">
        <f t="array" aca="1" ref="AS14" ca="1">IF(ISNUMBER(_xll.BDH($N14,$P$4,AS$5)),
   _xll.BDH($N14,$P$4,AS$5),
   LOOKUP(2, 1/(ISNUMBER(AP14:AR14)), AP14:AR14))</f>
        <v>-0.17499999999999999</v>
      </c>
      <c r="AT14" cm="1">
        <f t="array" aca="1" ref="AT14" ca="1">IF(ISNUMBER(_xll.BDH($N14,$P$4,AT$5)),
   _xll.BDH($N14,$P$4,AT$5),
   LOOKUP(2, 1/(ISNUMBER(AQ14:AS14)), AQ14:AS14))</f>
        <v>-0.115</v>
      </c>
      <c r="AU14" cm="1">
        <f t="array" aca="1" ref="AU14" ca="1">IF(ISNUMBER(_xll.BDH($N14,$P$4,AU$5)),
   _xll.BDH($N14,$P$4,AU$5),
   LOOKUP(2, 1/(ISNUMBER(AR14:AT14)), AR14:AT14))</f>
        <v>-0.11</v>
      </c>
      <c r="AV14" cm="1">
        <f t="array" aca="1" ref="AV14" ca="1">IF(ISNUMBER(_xll.BDH($N14,$P$4,AV$5)),
   _xll.BDH($N14,$P$4,AV$5),
   LOOKUP(2, 1/(ISNUMBER(AS14:AU14)), AS14:AU14))</f>
        <v>-0.115</v>
      </c>
      <c r="AW14" cm="1">
        <f t="array" aca="1" ref="AW14" ca="1">IF(ISNUMBER(_xll.BDH($N14,$P$4,AW$5)),
   _xll.BDH($N14,$P$4,AW$5),
   LOOKUP(2, 1/(ISNUMBER(AT14:AV14)), AT14:AV14))</f>
        <v>-0.13500000000000001</v>
      </c>
      <c r="AX14" cm="1">
        <f t="array" aca="1" ref="AX14" ca="1">IF(ISNUMBER(_xll.BDH($N14,$P$4,AX$5)),
   _xll.BDH($N14,$P$4,AX$5),
   LOOKUP(2, 1/(ISNUMBER(AU14:AW14)), AU14:AW14))</f>
        <v>-0.105</v>
      </c>
      <c r="AY14" cm="1">
        <f t="array" aca="1" ref="AY14" ca="1">IF(ISNUMBER(_xll.BDH($N14,$P$4,AY$5)),
   _xll.BDH($N14,$P$4,AY$5),
   LOOKUP(2, 1/(ISNUMBER(AV14:AX14)), AV14:AX14))</f>
        <v>-0.11</v>
      </c>
      <c r="AZ14" cm="1">
        <f t="array" aca="1" ref="AZ14" ca="1">IF(ISNUMBER(_xll.BDH($N14,$P$4,AZ$5)),
   _xll.BDH($N14,$P$4,AZ$5),
   LOOKUP(2, 1/(ISNUMBER(AW14:AY14)), AW14:AY14))</f>
        <v>-0.1</v>
      </c>
      <c r="BA14" cm="1">
        <f t="array" aca="1" ref="BA14" ca="1">IF(ISNUMBER(_xll.BDH($N14,$P$4,BA$5)),
   _xll.BDH($N14,$P$4,BA$5),
   LOOKUP(2, 1/(ISNUMBER(AX14:AZ14)), AX14:AZ14))</f>
        <v>-8.5000000000000006E-2</v>
      </c>
      <c r="BB14" cm="1">
        <f t="array" aca="1" ref="BB14" ca="1">IF(ISNUMBER(_xll.BDH($N14,$P$4,BB$5)),
   _xll.BDH($N14,$P$4,BB$5),
   LOOKUP(2, 1/(ISNUMBER(AY14:BA14)), AY14:BA14))</f>
        <v>-0.09</v>
      </c>
      <c r="BC14">
        <f t="shared" si="3"/>
        <v>-9.5000000000000001E-2</v>
      </c>
    </row>
    <row r="15" spans="2:55" x14ac:dyDescent="0.25">
      <c r="B15" t="s">
        <v>91</v>
      </c>
      <c r="C15" t="s">
        <v>92</v>
      </c>
      <c r="D15">
        <v>25302</v>
      </c>
      <c r="E15">
        <v>-1.4999999999999999E-2</v>
      </c>
      <c r="F15">
        <v>-0.01</v>
      </c>
      <c r="G15">
        <v>24710</v>
      </c>
      <c r="H15">
        <v>2400</v>
      </c>
      <c r="I15">
        <v>-0.01</v>
      </c>
      <c r="J15" t="s">
        <v>121</v>
      </c>
      <c r="K15" t="s">
        <v>23</v>
      </c>
      <c r="N15" t="str">
        <f t="shared" si="1"/>
        <v>SFIZ7H8 comdty</v>
      </c>
      <c r="X15" s="2"/>
      <c r="Y15" s="2"/>
      <c r="Z15" s="2"/>
      <c r="AB15">
        <f t="shared" ca="1" si="4"/>
        <v>-2.8000000000000008E-2</v>
      </c>
      <c r="AC15">
        <f t="shared" ca="1" si="5"/>
        <v>1.5524174696260018E-2</v>
      </c>
      <c r="AD15">
        <f t="shared" ca="1" si="2"/>
        <v>1.4815602407219119</v>
      </c>
      <c r="AF15" cm="1">
        <f t="array" aca="1" ref="AF15" ca="1">_xll.BDH($N15,$P$4,AF$5)</f>
        <v>-4.4999999999999998E-2</v>
      </c>
      <c r="AG15" cm="1">
        <f t="array" aca="1" ref="AG15" ca="1">_xll.BDH($N15,$P$4,AG$5)</f>
        <v>-6.5000000000000002E-2</v>
      </c>
      <c r="AH15" cm="1">
        <f t="array" aca="1" ref="AH15" ca="1">_xll.BDH($N15,$P$4,AH$5)</f>
        <v>-0.05</v>
      </c>
      <c r="AI15" cm="1">
        <f t="array" aca="1" ref="AI15" ca="1">IF(ISNUMBER(_xll.BDH($N15,$P$4,AI$5)),
   _xll.BDH($N15,$P$4,AI$5),
   LOOKUP(2, 1/(ISNUMBER(AF15:AH15)), AF15:AH15))</f>
        <v>-5.5E-2</v>
      </c>
      <c r="AJ15" cm="1">
        <f t="array" aca="1" ref="AJ15" ca="1">IF(ISNUMBER(_xll.BDH($N15,$P$4,AJ$5)),
   _xll.BDH($N15,$P$4,AJ$5),
   LOOKUP(2, 1/(ISNUMBER(AG15:AI15)), AG15:AI15))</f>
        <v>-5.5E-2</v>
      </c>
      <c r="AK15" cm="1">
        <f t="array" aca="1" ref="AK15" ca="1">IF(ISNUMBER(_xll.BDH($N15,$P$4,AK$5)),
   _xll.BDH($N15,$P$4,AK$5),
   LOOKUP(2, 1/(ISNUMBER(AH15:AJ15)), AH15:AJ15))</f>
        <v>-0.05</v>
      </c>
      <c r="AL15" cm="1">
        <f t="array" aca="1" ref="AL15" ca="1">IF(ISNUMBER(_xll.BDH($N15,$P$4,AL$5)),
   _xll.BDH($N15,$P$4,AL$5),
   LOOKUP(2, 1/(ISNUMBER(AI15:AK15)), AI15:AK15))</f>
        <v>-0.04</v>
      </c>
      <c r="AM15" cm="1">
        <f t="array" aca="1" ref="AM15" ca="1">IF(ISNUMBER(_xll.BDH($N15,$P$4,AM$5)),
   _xll.BDH($N15,$P$4,AM$5),
   LOOKUP(2, 1/(ISNUMBER(AJ15:AL15)), AJ15:AL15))</f>
        <v>-3.5000000000000003E-2</v>
      </c>
      <c r="AN15" cm="1">
        <f t="array" aca="1" ref="AN15" ca="1">IF(ISNUMBER(_xll.BDH($N15,$P$4,AN$5)),
   _xll.BDH($N15,$P$4,AN$5),
   LOOKUP(2, 1/(ISNUMBER(AK15:AM15)), AK15:AM15))</f>
        <v>-0.03</v>
      </c>
      <c r="AO15" cm="1">
        <f t="array" aca="1" ref="AO15" ca="1">IF(ISNUMBER(_xll.BDH($N15,$P$4,AO$5)),
   _xll.BDH($N15,$P$4,AO$5),
   LOOKUP(2, 1/(ISNUMBER(AL15:AN15)), AL15:AN15))</f>
        <v>-2.5000000000000001E-2</v>
      </c>
      <c r="AP15" cm="1">
        <f t="array" aca="1" ref="AP15" ca="1">IF(ISNUMBER(_xll.BDH($N15,$P$4,AP$5)),
   _xll.BDH($N15,$P$4,AP$5),
   LOOKUP(2, 1/(ISNUMBER(AM15:AO15)), AM15:AO15))</f>
        <v>-3.5000000000000003E-2</v>
      </c>
      <c r="AQ15" cm="1">
        <f t="array" aca="1" ref="AQ15" ca="1">IF(ISNUMBER(_xll.BDH($N15,$P$4,AQ$5)),
   _xll.BDH($N15,$P$4,AQ$5),
   LOOKUP(2, 1/(ISNUMBER(AN15:AP15)), AN15:AP15))</f>
        <v>-3.5000000000000003E-2</v>
      </c>
      <c r="AR15" cm="1">
        <f t="array" aca="1" ref="AR15" ca="1">IF(ISNUMBER(_xll.BDH($N15,$P$4,AR$5)),
   _xll.BDH($N15,$P$4,AR$5),
   LOOKUP(2, 1/(ISNUMBER(AO15:AQ15)), AO15:AQ15))</f>
        <v>-3.5000000000000003E-2</v>
      </c>
      <c r="AS15" cm="1">
        <f t="array" aca="1" ref="AS15" ca="1">IF(ISNUMBER(_xll.BDH($N15,$P$4,AS$5)),
   _xll.BDH($N15,$P$4,AS$5),
   LOOKUP(2, 1/(ISNUMBER(AP15:AR15)), AP15:AR15))</f>
        <v>-4.4999999999999998E-2</v>
      </c>
      <c r="AT15" cm="1">
        <f t="array" aca="1" ref="AT15" ca="1">IF(ISNUMBER(_xll.BDH($N15,$P$4,AT$5)),
   _xll.BDH($N15,$P$4,AT$5),
   LOOKUP(2, 1/(ISNUMBER(AQ15:AS15)), AQ15:AS15))</f>
        <v>-0.02</v>
      </c>
      <c r="AU15" cm="1">
        <f t="array" aca="1" ref="AU15" ca="1">IF(ISNUMBER(_xll.BDH($N15,$P$4,AU$5)),
   _xll.BDH($N15,$P$4,AU$5),
   LOOKUP(2, 1/(ISNUMBER(AR15:AT15)), AR15:AT15))</f>
        <v>-1.4999999999999999E-2</v>
      </c>
      <c r="AV15" cm="1">
        <f t="array" aca="1" ref="AV15" ca="1">IF(ISNUMBER(_xll.BDH($N15,$P$4,AV$5)),
   _xll.BDH($N15,$P$4,AV$5),
   LOOKUP(2, 1/(ISNUMBER(AS15:AU15)), AS15:AU15))</f>
        <v>-0.02</v>
      </c>
      <c r="AW15" cm="1">
        <f t="array" aca="1" ref="AW15" ca="1">IF(ISNUMBER(_xll.BDH($N15,$P$4,AW$5)),
   _xll.BDH($N15,$P$4,AW$5),
   LOOKUP(2, 1/(ISNUMBER(AT15:AV15)), AT15:AV15))</f>
        <v>-0.02</v>
      </c>
      <c r="AX15" cm="1">
        <f t="array" aca="1" ref="AX15" ca="1">IF(ISNUMBER(_xll.BDH($N15,$P$4,AX$5)),
   _xll.BDH($N15,$P$4,AX$5),
   LOOKUP(2, 1/(ISNUMBER(AU15:AW15)), AU15:AW15))</f>
        <v>-0.01</v>
      </c>
      <c r="AY15" cm="1">
        <f t="array" aca="1" ref="AY15" ca="1">IF(ISNUMBER(_xll.BDH($N15,$P$4,AY$5)),
   _xll.BDH($N15,$P$4,AY$5),
   LOOKUP(2, 1/(ISNUMBER(AV15:AX15)), AV15:AX15))</f>
        <v>-1.4999999999999999E-2</v>
      </c>
      <c r="AZ15" cm="1">
        <f t="array" aca="1" ref="AZ15" ca="1">IF(ISNUMBER(_xll.BDH($N15,$P$4,AZ$5)),
   _xll.BDH($N15,$P$4,AZ$5),
   LOOKUP(2, 1/(ISNUMBER(AW15:AY15)), AW15:AY15))</f>
        <v>-0.01</v>
      </c>
      <c r="BA15" cm="1">
        <f t="array" aca="1" ref="BA15" ca="1">IF(ISNUMBER(_xll.BDH($N15,$P$4,BA$5)),
   _xll.BDH($N15,$P$4,BA$5),
   LOOKUP(2, 1/(ISNUMBER(AX15:AZ15)), AX15:AZ15))</f>
        <v>-5.0000000000000001E-3</v>
      </c>
      <c r="BB15" cm="1">
        <f t="array" aca="1" ref="BB15" ca="1">IF(ISNUMBER(_xll.BDH($N15,$P$4,BB$5)),
   _xll.BDH($N15,$P$4,BB$5),
   LOOKUP(2, 1/(ISNUMBER(AY15:BA15)), AY15:BA15))</f>
        <v>-5.0000000000000001E-3</v>
      </c>
      <c r="BC15">
        <f t="shared" si="3"/>
        <v>-5.0000000000000001E-3</v>
      </c>
    </row>
    <row r="16" spans="2:55" x14ac:dyDescent="0.25">
      <c r="B16" t="s">
        <v>54</v>
      </c>
      <c r="C16" t="s">
        <v>55</v>
      </c>
      <c r="D16">
        <v>65090</v>
      </c>
      <c r="E16">
        <v>0.1</v>
      </c>
      <c r="F16">
        <v>0.105</v>
      </c>
      <c r="G16">
        <v>4192</v>
      </c>
      <c r="H16">
        <v>2558</v>
      </c>
      <c r="I16">
        <v>0.105</v>
      </c>
      <c r="J16" t="s">
        <v>60</v>
      </c>
      <c r="K16" t="s">
        <v>23</v>
      </c>
      <c r="N16" t="str">
        <f t="shared" si="1"/>
        <v>SFIM7Z7 comdty</v>
      </c>
      <c r="X16" s="2"/>
      <c r="Y16" s="2"/>
      <c r="Z16" s="2"/>
      <c r="AB16">
        <f t="shared" ca="1" si="4"/>
        <v>-0.14499999999999999</v>
      </c>
      <c r="AC16">
        <f t="shared" ca="1" si="5"/>
        <v>3.7316216314090538E-2</v>
      </c>
      <c r="AD16">
        <f t="shared" ca="1" si="2"/>
        <v>1.3399000471845823</v>
      </c>
      <c r="AF16" cm="1">
        <f t="array" aca="1" ref="AF16" ca="1">_xll.BDH($N16,$P$4,AF$5)</f>
        <v>-0.16</v>
      </c>
      <c r="AG16" cm="1">
        <f t="array" aca="1" ref="AG16" ca="1">_xll.BDH($N16,$P$4,AG$5)</f>
        <v>-0.2</v>
      </c>
      <c r="AH16" cm="1">
        <f t="array" aca="1" ref="AH16" ca="1">_xll.BDH($N16,$P$4,AH$5)</f>
        <v>-0.185</v>
      </c>
      <c r="AI16" cm="1">
        <f t="array" aca="1" ref="AI16" ca="1">IF(ISNUMBER(_xll.BDH($N16,$P$4,AI$5)),
   _xll.BDH($N16,$P$4,AI$5),
   LOOKUP(2, 1/(ISNUMBER(AF16:AH16)), AF16:AH16))</f>
        <v>-0.19500000000000001</v>
      </c>
      <c r="AJ16" cm="1">
        <f t="array" aca="1" ref="AJ16" ca="1">IF(ISNUMBER(_xll.BDH($N16,$P$4,AJ$5)),
   _xll.BDH($N16,$P$4,AJ$5),
   LOOKUP(2, 1/(ISNUMBER(AG16:AI16)), AG16:AI16))</f>
        <v>-0.19</v>
      </c>
      <c r="AK16" cm="1">
        <f t="array" aca="1" ref="AK16" ca="1">IF(ISNUMBER(_xll.BDH($N16,$P$4,AK$5)),
   _xll.BDH($N16,$P$4,AK$5),
   LOOKUP(2, 1/(ISNUMBER(AH16:AJ16)), AH16:AJ16))</f>
        <v>-0.19500000000000001</v>
      </c>
      <c r="AL16" cm="1">
        <f t="array" aca="1" ref="AL16" ca="1">IF(ISNUMBER(_xll.BDH($N16,$P$4,AL$5)),
   _xll.BDH($N16,$P$4,AL$5),
   LOOKUP(2, 1/(ISNUMBER(AI16:AK16)), AI16:AK16))</f>
        <v>-0.19500000000000001</v>
      </c>
      <c r="AM16" cm="1">
        <f t="array" aca="1" ref="AM16" ca="1">IF(ISNUMBER(_xll.BDH($N16,$P$4,AM$5)),
   _xll.BDH($N16,$P$4,AM$5),
   LOOKUP(2, 1/(ISNUMBER(AJ16:AL16)), AJ16:AL16))</f>
        <v>-0.18</v>
      </c>
      <c r="AN16" cm="1">
        <f t="array" aca="1" ref="AN16" ca="1">IF(ISNUMBER(_xll.BDH($N16,$P$4,AN$5)),
   _xll.BDH($N16,$P$4,AN$5),
   LOOKUP(2, 1/(ISNUMBER(AK16:AM16)), AK16:AM16))</f>
        <v>-0.16500000000000001</v>
      </c>
      <c r="AO16" cm="1">
        <f t="array" aca="1" ref="AO16" ca="1">IF(ISNUMBER(_xll.BDH($N16,$P$4,AO$5)),
   _xll.BDH($N16,$P$4,AO$5),
   LOOKUP(2, 1/(ISNUMBER(AL16:AN16)), AL16:AN16))</f>
        <v>-0.14499999999999999</v>
      </c>
      <c r="AP16" cm="1">
        <f t="array" aca="1" ref="AP16" ca="1">IF(ISNUMBER(_xll.BDH($N16,$P$4,AP$5)),
   _xll.BDH($N16,$P$4,AP$5),
   LOOKUP(2, 1/(ISNUMBER(AM16:AO16)), AM16:AO16))</f>
        <v>-0.16500000000000001</v>
      </c>
      <c r="AQ16" cm="1">
        <f t="array" aca="1" ref="AQ16" ca="1">IF(ISNUMBER(_xll.BDH($N16,$P$4,AQ$5)),
   _xll.BDH($N16,$P$4,AQ$5),
   LOOKUP(2, 1/(ISNUMBER(AN16:AP16)), AN16:AP16))</f>
        <v>-0.16500000000000001</v>
      </c>
      <c r="AR16" cm="1">
        <f t="array" aca="1" ref="AR16" ca="1">IF(ISNUMBER(_xll.BDH($N16,$P$4,AR$5)),
   _xll.BDH($N16,$P$4,AR$5),
   LOOKUP(2, 1/(ISNUMBER(AO16:AQ16)), AO16:AQ16))</f>
        <v>-0.16500000000000001</v>
      </c>
      <c r="AS16" cm="1">
        <f t="array" aca="1" ref="AS16" ca="1">IF(ISNUMBER(_xll.BDH($N16,$P$4,AS$5)),
   _xll.BDH($N16,$P$4,AS$5),
   LOOKUP(2, 1/(ISNUMBER(AP16:AR16)), AP16:AR16))</f>
        <v>-0.17499999999999999</v>
      </c>
      <c r="AT16" cm="1">
        <f t="array" aca="1" ref="AT16" ca="1">IF(ISNUMBER(_xll.BDH($N16,$P$4,AT$5)),
   _xll.BDH($N16,$P$4,AT$5),
   LOOKUP(2, 1/(ISNUMBER(AQ16:AS16)), AQ16:AS16))</f>
        <v>-0.115</v>
      </c>
      <c r="AU16" cm="1">
        <f t="array" aca="1" ref="AU16" ca="1">IF(ISNUMBER(_xll.BDH($N16,$P$4,AU$5)),
   _xll.BDH($N16,$P$4,AU$5),
   LOOKUP(2, 1/(ISNUMBER(AR16:AT16)), AR16:AT16))</f>
        <v>-0.11</v>
      </c>
      <c r="AV16" cm="1">
        <f t="array" aca="1" ref="AV16" ca="1">IF(ISNUMBER(_xll.BDH($N16,$P$4,AV$5)),
   _xll.BDH($N16,$P$4,AV$5),
   LOOKUP(2, 1/(ISNUMBER(AS16:AU16)), AS16:AU16))</f>
        <v>-0.115</v>
      </c>
      <c r="AW16" cm="1">
        <f t="array" aca="1" ref="AW16" ca="1">IF(ISNUMBER(_xll.BDH($N16,$P$4,AW$5)),
   _xll.BDH($N16,$P$4,AW$5),
   LOOKUP(2, 1/(ISNUMBER(AT16:AV16)), AT16:AV16))</f>
        <v>-0.13500000000000001</v>
      </c>
      <c r="AX16" cm="1">
        <f t="array" aca="1" ref="AX16" ca="1">IF(ISNUMBER(_xll.BDH($N16,$P$4,AX$5)),
   _xll.BDH($N16,$P$4,AX$5),
   LOOKUP(2, 1/(ISNUMBER(AU16:AW16)), AU16:AW16))</f>
        <v>-0.105</v>
      </c>
      <c r="AY16" cm="1">
        <f t="array" aca="1" ref="AY16" ca="1">IF(ISNUMBER(_xll.BDH($N16,$P$4,AY$5)),
   _xll.BDH($N16,$P$4,AY$5),
   LOOKUP(2, 1/(ISNUMBER(AV16:AX16)), AV16:AX16))</f>
        <v>-0.11</v>
      </c>
      <c r="AZ16" cm="1">
        <f t="array" aca="1" ref="AZ16" ca="1">IF(ISNUMBER(_xll.BDH($N16,$P$4,AZ$5)),
   _xll.BDH($N16,$P$4,AZ$5),
   LOOKUP(2, 1/(ISNUMBER(AW16:AY16)), AW16:AY16))</f>
        <v>-0.1</v>
      </c>
      <c r="BA16" cm="1">
        <f t="array" aca="1" ref="BA16" ca="1">IF(ISNUMBER(_xll.BDH($N16,$P$4,BA$5)),
   _xll.BDH($N16,$P$4,BA$5),
   LOOKUP(2, 1/(ISNUMBER(AX16:AZ16)), AX16:AZ16))</f>
        <v>-8.5000000000000006E-2</v>
      </c>
      <c r="BB16" cm="1">
        <f t="array" aca="1" ref="BB16" ca="1">IF(ISNUMBER(_xll.BDH($N16,$P$4,BB$5)),
   _xll.BDH($N16,$P$4,BB$5),
   LOOKUP(2, 1/(ISNUMBER(AY16:BA16)), AY16:BA16))</f>
        <v>-0.09</v>
      </c>
      <c r="BC16">
        <f t="shared" si="3"/>
        <v>-9.5000000000000001E-2</v>
      </c>
    </row>
    <row r="17" spans="1:55" x14ac:dyDescent="0.25">
      <c r="B17" t="s">
        <v>61</v>
      </c>
      <c r="C17" t="s">
        <v>62</v>
      </c>
      <c r="D17">
        <v>287</v>
      </c>
      <c r="E17">
        <v>0.19500000000000001</v>
      </c>
      <c r="F17">
        <v>0.2</v>
      </c>
      <c r="G17">
        <v>66394</v>
      </c>
      <c r="H17">
        <v>2528</v>
      </c>
      <c r="I17">
        <v>0.19500000000000001</v>
      </c>
      <c r="J17" t="s">
        <v>63</v>
      </c>
      <c r="K17" t="s">
        <v>23</v>
      </c>
      <c r="N17" t="str">
        <f t="shared" si="1"/>
        <v>SFIZ7Z8 comdty</v>
      </c>
      <c r="AF17" cm="1">
        <f t="array" aca="1" ref="AF17" ca="1">_xll.BDH($N17,$P$4,AF$5)</f>
        <v>-0.09</v>
      </c>
      <c r="AG17" cm="1">
        <f t="array" aca="1" ref="AG17" ca="1">_xll.BDH($N17,$P$4,AG$5)</f>
        <v>-0.14499999999999999</v>
      </c>
      <c r="AH17" cm="1">
        <f t="array" aca="1" ref="AH17" ca="1">_xll.BDH($N17,$P$4,AH$5)</f>
        <v>-8.5000000000000006E-2</v>
      </c>
      <c r="AI17" cm="1">
        <f t="array" aca="1" ref="AI17" ca="1">IF(ISNUMBER(_xll.BDH($N17,$P$4,AI$5)),
   _xll.BDH($N17,$P$4,AI$5),
   LOOKUP(2, 1/(ISNUMBER(AF17:AH17)), AF17:AH17))</f>
        <v>-0.105</v>
      </c>
      <c r="AJ17" cm="1">
        <f t="array" aca="1" ref="AJ17" ca="1">IF(ISNUMBER(_xll.BDH($N17,$P$4,AJ$5)),
   _xll.BDH($N17,$P$4,AJ$5),
   LOOKUP(2, 1/(ISNUMBER(AG17:AI17)), AG17:AI17))</f>
        <v>-0.12</v>
      </c>
      <c r="AK17" cm="1">
        <f t="array" aca="1" ref="AK17" ca="1">IF(ISNUMBER(_xll.BDH($N17,$P$4,AK$5)),
   _xll.BDH($N17,$P$4,AK$5),
   LOOKUP(2, 1/(ISNUMBER(AH17:AJ17)), AH17:AJ17))</f>
        <v>-0.115</v>
      </c>
      <c r="AL17" cm="1">
        <f t="array" aca="1" ref="AL17" ca="1">IF(ISNUMBER(_xll.BDH($N17,$P$4,AL$5)),
   _xll.BDH($N17,$P$4,AL$5),
   LOOKUP(2, 1/(ISNUMBER(AI17:AK17)), AI17:AK17))</f>
        <v>-7.4999999999999997E-2</v>
      </c>
      <c r="AM17" cm="1">
        <f t="array" aca="1" ref="AM17" ca="1">IF(ISNUMBER(_xll.BDH($N17,$P$4,AM$5)),
   _xll.BDH($N17,$P$4,AM$5),
   LOOKUP(2, 1/(ISNUMBER(AJ17:AL17)), AJ17:AL17))</f>
        <v>-0.08</v>
      </c>
      <c r="AN17" cm="1">
        <f t="array" aca="1" ref="AN17" ca="1">IF(ISNUMBER(_xll.BDH($N17,$P$4,AN$5)),
   _xll.BDH($N17,$P$4,AN$5),
   LOOKUP(2, 1/(ISNUMBER(AK17:AM17)), AK17:AM17))</f>
        <v>-0.06</v>
      </c>
      <c r="AO17" cm="1">
        <f t="array" aca="1" ref="AO17" ca="1">IF(ISNUMBER(_xll.BDH($N17,$P$4,AO$5)),
   _xll.BDH($N17,$P$4,AO$5),
   LOOKUP(2, 1/(ISNUMBER(AL17:AN17)), AL17:AN17))</f>
        <v>-0.05</v>
      </c>
      <c r="AP17" cm="1">
        <f t="array" aca="1" ref="AP17" ca="1">IF(ISNUMBER(_xll.BDH($N17,$P$4,AP$5)),
   _xll.BDH($N17,$P$4,AP$5),
   LOOKUP(2, 1/(ISNUMBER(AM17:AO17)), AM17:AO17))</f>
        <v>-7.0000000000000007E-2</v>
      </c>
      <c r="AQ17" cm="1">
        <f t="array" aca="1" ref="AQ17" ca="1">IF(ISNUMBER(_xll.BDH($N17,$P$4,AQ$5)),
   _xll.BDH($N17,$P$4,AQ$5),
   LOOKUP(2, 1/(ISNUMBER(AN17:AP17)), AN17:AP17))</f>
        <v>-7.0000000000000007E-2</v>
      </c>
      <c r="AR17" cm="1">
        <f t="array" aca="1" ref="AR17" ca="1">IF(ISNUMBER(_xll.BDH($N17,$P$4,AR$5)),
   _xll.BDH($N17,$P$4,AR$5),
   LOOKUP(2, 1/(ISNUMBER(AO17:AQ17)), AO17:AQ17))</f>
        <v>-7.0000000000000007E-2</v>
      </c>
      <c r="AS17" cm="1">
        <f t="array" aca="1" ref="AS17" ca="1">IF(ISNUMBER(_xll.BDH($N17,$P$4,AS$5)),
   _xll.BDH($N17,$P$4,AS$5),
   LOOKUP(2, 1/(ISNUMBER(AP17:AR17)), AP17:AR17))</f>
        <v>-9.5000000000000001E-2</v>
      </c>
      <c r="AT17" cm="1">
        <f t="array" aca="1" ref="AT17" ca="1">IF(ISNUMBER(_xll.BDH($N17,$P$4,AT$5)),
   _xll.BDH($N17,$P$4,AT$5),
   LOOKUP(2, 1/(ISNUMBER(AQ17:AS17)), AQ17:AS17))</f>
        <v>-1.4999999999999999E-2</v>
      </c>
      <c r="AU17" cm="1">
        <f t="array" aca="1" ref="AU17" ca="1">IF(ISNUMBER(_xll.BDH($N17,$P$4,AU$5)),
   _xll.BDH($N17,$P$4,AU$5),
   LOOKUP(2, 1/(ISNUMBER(AR17:AT17)), AR17:AT17))</f>
        <v>-0.01</v>
      </c>
      <c r="AV17" cm="1">
        <f t="array" aca="1" ref="AV17" ca="1">IF(ISNUMBER(_xll.BDH($N17,$P$4,AV$5)),
   _xll.BDH($N17,$P$4,AV$5),
   LOOKUP(2, 1/(ISNUMBER(AS17:AU17)), AS17:AU17))</f>
        <v>-5.0000000000000001E-3</v>
      </c>
      <c r="AW17" cm="1">
        <f t="array" aca="1" ref="AW17" ca="1">IF(ISNUMBER(_xll.BDH($N17,$P$4,AW$5)),
   _xll.BDH($N17,$P$4,AW$5),
   LOOKUP(2, 1/(ISNUMBER(AT17:AV17)), AT17:AV17))</f>
        <v>-1.4999999999999999E-2</v>
      </c>
      <c r="AX17" cm="1">
        <f t="array" aca="1" ref="AX17" ca="1">IF(ISNUMBER(_xll.BDH($N17,$P$4,AX$5)),
   _xll.BDH($N17,$P$4,AX$5),
   LOOKUP(2, 1/(ISNUMBER(AU17:AW17)), AU17:AW17))</f>
        <v>1.4999999999999999E-2</v>
      </c>
      <c r="AY17" cm="1">
        <f t="array" aca="1" ref="AY17" ca="1">IF(ISNUMBER(_xll.BDH($N17,$P$4,AY$5)),
   _xll.BDH($N17,$P$4,AY$5),
   LOOKUP(2, 1/(ISNUMBER(AV17:AX17)), AV17:AX17))</f>
        <v>0.02</v>
      </c>
      <c r="AZ17" cm="1">
        <f t="array" aca="1" ref="AZ17" ca="1">IF(ISNUMBER(_xll.BDH($N17,$P$4,AZ$5)),
   _xll.BDH($N17,$P$4,AZ$5),
   LOOKUP(2, 1/(ISNUMBER(AW17:AY17)), AW17:AY17))</f>
        <v>3.5000000000000003E-2</v>
      </c>
      <c r="BA17" cm="1">
        <f t="array" aca="1" ref="BA17" ca="1">IF(ISNUMBER(_xll.BDH($N17,$P$4,BA$5)),
   _xll.BDH($N17,$P$4,BA$5),
   LOOKUP(2, 1/(ISNUMBER(AX17:AZ17)), AX17:AZ17))</f>
        <v>0.05</v>
      </c>
      <c r="BB17" cm="1">
        <f t="array" aca="1" ref="BB17" ca="1">IF(ISNUMBER(_xll.BDH($N17,$P$4,BB$5)),
   _xll.BDH($N17,$P$4,BB$5),
   LOOKUP(2, 1/(ISNUMBER(AY17:BA17)), AY17:BA17))</f>
        <v>4.4999999999999998E-2</v>
      </c>
      <c r="BC17">
        <f>P17</f>
        <v>0</v>
      </c>
    </row>
    <row r="18" spans="1:55" x14ac:dyDescent="0.25">
      <c r="AF18" t="str" cm="1">
        <f t="array" aca="1" ref="AF18" ca="1">_xll.BDH($N18,$P$4,AF$5)</f>
        <v>#N/A Mandatory parameter [SECURITY] cannot be empty</v>
      </c>
      <c r="AG18" t="str" cm="1">
        <f t="array" aca="1" ref="AG18" ca="1">_xll.BDH($N18,$P$4,AG$5)</f>
        <v>#N/A Mandatory parameter [SECURITY] cannot be empty</v>
      </c>
      <c r="AH18" t="str" cm="1">
        <f t="array" aca="1" ref="AH18" ca="1">_xll.BDH($N18,$P$4,AH$5)</f>
        <v>#N/A Mandatory parameter [SECURITY] cannot be empty</v>
      </c>
      <c r="AI18" t="e" cm="1">
        <f t="array" aca="1" ref="AI18" ca="1">IF(ISNUMBER(_xll.BDH($N18,$P$4,AI$5)),
   _xll.BDH($N18,$P$4,AI$5),
   LOOKUP(2, 1/(ISNUMBER(AF18:AH18)), AF18:AH18))</f>
        <v>#N/A</v>
      </c>
      <c r="AJ18" t="e" cm="1">
        <f t="array" aca="1" ref="AJ18" ca="1">IF(ISNUMBER(_xll.BDH($N18,$P$4,AJ$5)),
   _xll.BDH($N18,$P$4,AJ$5),
   LOOKUP(2, 1/(ISNUMBER(AG18:AI18)), AG18:AI18))</f>
        <v>#N/A</v>
      </c>
      <c r="AK18" t="e" cm="1">
        <f t="array" aca="1" ref="AK18" ca="1">IF(ISNUMBER(_xll.BDH($N18,$P$4,AK$5)),
   _xll.BDH($N18,$P$4,AK$5),
   LOOKUP(2, 1/(ISNUMBER(AH18:AJ18)), AH18:AJ18))</f>
        <v>#N/A</v>
      </c>
      <c r="AL18" t="e" cm="1">
        <f t="array" aca="1" ref="AL18" ca="1">IF(ISNUMBER(_xll.BDH($N18,$P$4,AL$5)),
   _xll.BDH($N18,$P$4,AL$5),
   LOOKUP(2, 1/(ISNUMBER(AI18:AK18)), AI18:AK18))</f>
        <v>#N/A</v>
      </c>
      <c r="AM18" t="e" cm="1">
        <f t="array" aca="1" ref="AM18" ca="1">IF(ISNUMBER(_xll.BDH($N18,$P$4,AM$5)),
   _xll.BDH($N18,$P$4,AM$5),
   LOOKUP(2, 1/(ISNUMBER(AJ18:AL18)), AJ18:AL18))</f>
        <v>#N/A</v>
      </c>
      <c r="AN18" t="e" cm="1">
        <f t="array" aca="1" ref="AN18" ca="1">IF(ISNUMBER(_xll.BDH($N18,$P$4,AN$5)),
   _xll.BDH($N18,$P$4,AN$5),
   LOOKUP(2, 1/(ISNUMBER(AK18:AM18)), AK18:AM18))</f>
        <v>#N/A</v>
      </c>
      <c r="AO18" t="e" cm="1">
        <f t="array" aca="1" ref="AO18" ca="1">IF(ISNUMBER(_xll.BDH($N18,$P$4,AO$5)),
   _xll.BDH($N18,$P$4,AO$5),
   LOOKUP(2, 1/(ISNUMBER(AL18:AN18)), AL18:AN18))</f>
        <v>#N/A</v>
      </c>
      <c r="AP18" t="e" cm="1">
        <f t="array" aca="1" ref="AP18" ca="1">IF(ISNUMBER(_xll.BDH($N18,$P$4,AP$5)),
   _xll.BDH($N18,$P$4,AP$5),
   LOOKUP(2, 1/(ISNUMBER(AM18:AO18)), AM18:AO18))</f>
        <v>#N/A</v>
      </c>
      <c r="AQ18" t="e" cm="1">
        <f t="array" aca="1" ref="AQ18" ca="1">IF(ISNUMBER(_xll.BDH($N18,$P$4,AQ$5)),
   _xll.BDH($N18,$P$4,AQ$5),
   LOOKUP(2, 1/(ISNUMBER(AN18:AP18)), AN18:AP18))</f>
        <v>#N/A</v>
      </c>
      <c r="AR18" t="e" cm="1">
        <f t="array" aca="1" ref="AR18" ca="1">IF(ISNUMBER(_xll.BDH($N18,$P$4,AR$5)),
   _xll.BDH($N18,$P$4,AR$5),
   LOOKUP(2, 1/(ISNUMBER(AO18:AQ18)), AO18:AQ18))</f>
        <v>#N/A</v>
      </c>
      <c r="AS18" t="e" cm="1">
        <f t="array" aca="1" ref="AS18" ca="1">IF(ISNUMBER(_xll.BDH($N18,$P$4,AS$5)),
   _xll.BDH($N18,$P$4,AS$5),
   LOOKUP(2, 1/(ISNUMBER(AP18:AR18)), AP18:AR18))</f>
        <v>#N/A</v>
      </c>
      <c r="AT18" t="e" cm="1">
        <f t="array" aca="1" ref="AT18" ca="1">IF(ISNUMBER(_xll.BDH($N18,$P$4,AT$5)),
   _xll.BDH($N18,$P$4,AT$5),
   LOOKUP(2, 1/(ISNUMBER(AQ18:AS18)), AQ18:AS18))</f>
        <v>#N/A</v>
      </c>
      <c r="AU18" t="e" cm="1">
        <f t="array" aca="1" ref="AU18" ca="1">IF(ISNUMBER(_xll.BDH($N18,$P$4,AU$5)),
   _xll.BDH($N18,$P$4,AU$5),
   LOOKUP(2, 1/(ISNUMBER(AR18:AT18)), AR18:AT18))</f>
        <v>#N/A</v>
      </c>
      <c r="AV18" t="e" cm="1">
        <f t="array" aca="1" ref="AV18" ca="1">IF(ISNUMBER(_xll.BDH($N18,$P$4,AV$5)),
   _xll.BDH($N18,$P$4,AV$5),
   LOOKUP(2, 1/(ISNUMBER(AS18:AU18)), AS18:AU18))</f>
        <v>#N/A</v>
      </c>
      <c r="AW18" t="e" cm="1">
        <f t="array" aca="1" ref="AW18" ca="1">IF(ISNUMBER(_xll.BDH($N18,$P$4,AW$5)),
   _xll.BDH($N18,$P$4,AW$5),
   LOOKUP(2, 1/(ISNUMBER(AT18:AV18)), AT18:AV18))</f>
        <v>#N/A</v>
      </c>
      <c r="AX18" t="e" cm="1">
        <f t="array" aca="1" ref="AX18" ca="1">IF(ISNUMBER(_xll.BDH($N18,$P$4,AX$5)),
   _xll.BDH($N18,$P$4,AX$5),
   LOOKUP(2, 1/(ISNUMBER(AU18:AW18)), AU18:AW18))</f>
        <v>#N/A</v>
      </c>
      <c r="AY18" t="e" cm="1">
        <f t="array" aca="1" ref="AY18" ca="1">IF(ISNUMBER(_xll.BDH($N18,$P$4,AY$5)),
   _xll.BDH($N18,$P$4,AY$5),
   LOOKUP(2, 1/(ISNUMBER(AV18:AX18)), AV18:AX18))</f>
        <v>#N/A</v>
      </c>
      <c r="AZ18" t="e" cm="1">
        <f t="array" aca="1" ref="AZ18" ca="1">IF(ISNUMBER(_xll.BDH($N18,$P$4,AZ$5)),
   _xll.BDH($N18,$P$4,AZ$5),
   LOOKUP(2, 1/(ISNUMBER(AW18:AY18)), AW18:AY18))</f>
        <v>#N/A</v>
      </c>
      <c r="BA18" t="e" cm="1">
        <f t="array" aca="1" ref="BA18" ca="1">IF(ISNUMBER(_xll.BDH($N18,$P$4,BA$5)),
   _xll.BDH($N18,$P$4,BA$5),
   LOOKUP(2, 1/(ISNUMBER(AX18:AZ18)), AX18:AZ18))</f>
        <v>#N/A</v>
      </c>
      <c r="BB18" t="e" cm="1">
        <f t="array" aca="1" ref="BB18" ca="1">IF(ISNUMBER(_xll.BDH($N18,$P$4,BB$5)),
   _xll.BDH($N18,$P$4,BB$5),
   LOOKUP(2, 1/(ISNUMBER(AY18:BA18)), AY18:BA18))</f>
        <v>#N/A</v>
      </c>
      <c r="BC18">
        <f>P18</f>
        <v>0</v>
      </c>
    </row>
    <row r="19" spans="1:55" x14ac:dyDescent="0.25">
      <c r="J19" t="s">
        <v>41</v>
      </c>
      <c r="K19" s="6" t="s">
        <v>42</v>
      </c>
      <c r="N19" s="1">
        <f ca="1">WORKDAY(TODAY(),-1)</f>
        <v>46132</v>
      </c>
    </row>
    <row r="20" spans="1:55" x14ac:dyDescent="0.25">
      <c r="N20" s="1"/>
    </row>
    <row r="21" spans="1:55" x14ac:dyDescent="0.25">
      <c r="B21" s="5" t="s">
        <v>3</v>
      </c>
      <c r="C21" s="5" t="s">
        <v>43</v>
      </c>
      <c r="D21" s="5" t="s">
        <v>44</v>
      </c>
      <c r="E21" s="5" t="s">
        <v>45</v>
      </c>
      <c r="F21" s="5" t="s">
        <v>13</v>
      </c>
      <c r="G21" s="5" t="s">
        <v>46</v>
      </c>
      <c r="H21" s="5" t="s">
        <v>9</v>
      </c>
      <c r="I21" s="5" t="s">
        <v>47</v>
      </c>
      <c r="J21" s="5" t="s">
        <v>48</v>
      </c>
      <c r="K21" s="4" t="s">
        <v>49</v>
      </c>
    </row>
    <row r="22" spans="1:55" x14ac:dyDescent="0.25">
      <c r="A22" t="str">
        <f>B22&amp;" comdty"</f>
        <v>SFIZ6H7 comdty</v>
      </c>
      <c r="B22" s="5" t="str">
        <f t="shared" ref="B22:B32" si="6">B6</f>
        <v>SFIZ6H7</v>
      </c>
      <c r="C22" cm="1">
        <f t="array" ref="C22">_xll.BDP($N6,P$4)</f>
        <v>-1.4999999999999999E-2</v>
      </c>
      <c r="D22" s="3" cm="1">
        <f t="array" aca="1" ref="D22" ca="1">((F22+G22)/2) - (_xll.BDH($N6,$P$4,$N$19))</f>
        <v>-2.5000000000000005E-3</v>
      </c>
      <c r="E22" cm="1">
        <f t="array" ref="E22">_xll.BDP($N6,Q$4)</f>
        <v>5662</v>
      </c>
      <c r="F22" cm="1">
        <f t="array" ref="F22">_xll.BDP($N6,S$4)</f>
        <v>-1.4999999999999999E-2</v>
      </c>
      <c r="G22" cm="1">
        <f t="array" ref="G22">_xll.BDP($N6,T$4)</f>
        <v>-0.01</v>
      </c>
      <c r="H22" s="2">
        <f t="shared" ref="H22:H32" ca="1" si="7">AD6</f>
        <v>-1.5717623923465209</v>
      </c>
      <c r="I22" s="2"/>
      <c r="J22" cm="1">
        <f t="array" ref="J22">_xll.BDP($A22,J$19)</f>
        <v>2.9999999329447746E-2</v>
      </c>
      <c r="K22" s="6" cm="1">
        <f t="array" ref="K22">_xll.BDP($A22,K$19)</f>
        <v>21299.85</v>
      </c>
    </row>
    <row r="23" spans="1:55" x14ac:dyDescent="0.25">
      <c r="A23" t="str">
        <f t="shared" ref="A23:A32" si="8">B23&amp;" comdty"</f>
        <v>SFIZ6Z7 comdty</v>
      </c>
      <c r="B23" s="5" t="str">
        <f t="shared" si="6"/>
        <v>SFIZ6Z7</v>
      </c>
      <c r="C23" cm="1">
        <f t="array" ref="C23">_xll.BDP($N7,P$4)</f>
        <v>-0.14000000000000001</v>
      </c>
      <c r="D23" s="3" cm="1">
        <f t="array" aca="1" ref="D23" ca="1">((F23+G23)/2) - (_xll.BDH($N7,$P$4,$N$19))</f>
        <v>-7.5000000000000067E-3</v>
      </c>
      <c r="E23" cm="1">
        <f t="array" ref="E23">_xll.BDP($N7,Q$4)</f>
        <v>5377</v>
      </c>
      <c r="F23" cm="1">
        <f t="array" ref="F23">_xll.BDP($N7,S$4)</f>
        <v>-0.14499999999999999</v>
      </c>
      <c r="G23" cm="1">
        <f t="array" ref="G23">_xll.BDP($N7,T$4)</f>
        <v>-0.14000000000000001</v>
      </c>
      <c r="H23" s="2">
        <f t="shared" ca="1" si="7"/>
        <v>1.2623124601364384</v>
      </c>
      <c r="I23" s="2"/>
      <c r="J23" cm="1">
        <f t="array" ref="J23">_xll.BDP(A23,J$19)</f>
        <v>6.0000002384185791E-2</v>
      </c>
      <c r="K23" s="6" cm="1">
        <f t="array" ref="K23">_xll.BDP($A23,K$19)</f>
        <v>10703.95</v>
      </c>
    </row>
    <row r="24" spans="1:55" x14ac:dyDescent="0.25">
      <c r="A24" t="str">
        <f t="shared" si="8"/>
        <v>SFIM6U6 comdty</v>
      </c>
      <c r="B24" s="5" t="str">
        <f t="shared" si="6"/>
        <v>SFIM6U6</v>
      </c>
      <c r="C24" cm="1">
        <f t="array" ref="C24">_xll.BDP($N8,P$4)</f>
        <v>0.13500000000000001</v>
      </c>
      <c r="D24" s="3" cm="1">
        <f t="array" aca="1" ref="D24" ca="1">((F24+G24)/2) - (_xll.BDH($N8,$P$4,$N$19))</f>
        <v>2.7499999999999997E-2</v>
      </c>
      <c r="E24" cm="1">
        <f t="array" ref="E24">_xll.BDP($N8,Q$4)</f>
        <v>7395</v>
      </c>
      <c r="F24" cm="1">
        <f t="array" ref="F24">_xll.BDP($N8,S$4)</f>
        <v>0.16500000000000001</v>
      </c>
      <c r="G24" cm="1">
        <f t="array" ref="G24">_xll.BDP($N8,T$4)</f>
        <v>0.17</v>
      </c>
      <c r="H24" s="2">
        <f t="shared" ca="1" si="7"/>
        <v>-1.2143111725784208</v>
      </c>
      <c r="I24" s="2"/>
      <c r="J24" cm="1">
        <f t="array" ref="J24">_xll.BDP(A24,J$19)</f>
        <v>-1.000000536441803E-2</v>
      </c>
      <c r="K24" s="6" cm="1">
        <f t="array" ref="K24">_xll.BDP($A24,K$19)</f>
        <v>27748.6</v>
      </c>
    </row>
    <row r="25" spans="1:55" x14ac:dyDescent="0.25">
      <c r="A25" t="str">
        <f t="shared" si="8"/>
        <v>SFIU6H7 comdty</v>
      </c>
      <c r="B25" s="5" t="str">
        <f t="shared" si="6"/>
        <v>SFIU6H7</v>
      </c>
      <c r="C25" cm="1">
        <f t="array" ref="C25">_xll.BDP($N9,P$4)</f>
        <v>0.01</v>
      </c>
      <c r="D25" s="3" cm="1">
        <f t="array" aca="1" ref="D25" ca="1">((F25+G25)/2) - (_xll.BDH($N9,$P$4,$N$19))</f>
        <v>1.2500000000000001E-2</v>
      </c>
      <c r="E25" cm="1">
        <f t="array" ref="E25">_xll.BDP($N9,Q$4)</f>
        <v>5969</v>
      </c>
      <c r="F25" cm="1">
        <f t="array" ref="F25">_xll.BDP($N9,S$4)</f>
        <v>1.4999999999999999E-2</v>
      </c>
      <c r="G25" cm="1">
        <f t="array" ref="G25">_xll.BDP($N9,T$4)</f>
        <v>0.02</v>
      </c>
      <c r="H25" s="2">
        <f t="shared" ca="1" si="7"/>
        <v>-1.0680780601278723</v>
      </c>
      <c r="I25" s="2"/>
      <c r="J25" cm="1">
        <f t="array" ref="J25">_xll.BDP(A25,J$19)</f>
        <v>0.17500000260770321</v>
      </c>
      <c r="K25" s="6" cm="1">
        <f t="array" ref="K25">_xll.BDP($A25,K$19)</f>
        <v>10115.4</v>
      </c>
    </row>
    <row r="26" spans="1:55" x14ac:dyDescent="0.25">
      <c r="A26" t="str">
        <f t="shared" si="8"/>
        <v>SFIH7M7 comdty</v>
      </c>
      <c r="B26" s="5" t="str">
        <f t="shared" si="6"/>
        <v>SFIH7M7</v>
      </c>
      <c r="C26" cm="1">
        <f t="array" ref="C26">_xll.BDP($N10,P$4)</f>
        <v>-4.4999999999999998E-2</v>
      </c>
      <c r="D26" s="3" cm="1">
        <f t="array" aca="1" ref="D26" ca="1">((F26+G26)/2) - (_xll.BDH($N10,$P$4,$N$19))</f>
        <v>-2.5000000000000022E-3</v>
      </c>
      <c r="E26" cm="1">
        <f t="array" ref="E26">_xll.BDP($N10,Q$4)</f>
        <v>3747</v>
      </c>
      <c r="F26" cm="1">
        <f t="array" ref="F26">_xll.BDP($N10,S$4)</f>
        <v>-0.04</v>
      </c>
      <c r="G26" cm="1">
        <f t="array" ref="G26">_xll.BDP($N10,T$4)</f>
        <v>-3.5000000000000003E-2</v>
      </c>
      <c r="H26" s="2">
        <f t="shared" ca="1" si="7"/>
        <v>0.20873862316922573</v>
      </c>
      <c r="I26" s="2"/>
      <c r="J26" cm="1">
        <f t="array" ref="J26">_xll.BDP(A26,J$19)</f>
        <v>3.000000212341547E-2</v>
      </c>
      <c r="K26" s="6" cm="1">
        <f t="array" ref="K26">_xll.BDP($A26,K$19)</f>
        <v>18968.95</v>
      </c>
    </row>
    <row r="27" spans="1:55" x14ac:dyDescent="0.25">
      <c r="A27" t="str">
        <f t="shared" si="8"/>
        <v>SFIU6Z6 comdty</v>
      </c>
      <c r="B27" s="5" t="str">
        <f t="shared" si="6"/>
        <v>SFIU6Z6</v>
      </c>
      <c r="C27" cm="1">
        <f t="array" ref="C27">_xll.BDP($N11,P$4)</f>
        <v>1.4999999999999999E-2</v>
      </c>
      <c r="D27" s="3" cm="1">
        <f t="array" aca="1" ref="D27" ca="1">((F27+G27)/2) - (_xll.BDH($N11,$P$4,$N$19))</f>
        <v>1.5000000000000003E-2</v>
      </c>
      <c r="E27" cm="1">
        <f t="array" ref="E27">_xll.BDP($N11,Q$4)</f>
        <v>6091</v>
      </c>
      <c r="F27" cm="1">
        <f t="array" ref="F27">_xll.BDP($N11,S$4)</f>
        <v>2.5000000000000001E-2</v>
      </c>
      <c r="G27" cm="1">
        <f t="array" ref="G27">_xll.BDP($N11,T$4)</f>
        <v>3.5000000000000003E-2</v>
      </c>
      <c r="H27" s="2">
        <f t="shared" ca="1" si="7"/>
        <v>-1.3482838780492659</v>
      </c>
      <c r="I27" s="2"/>
      <c r="J27" cm="1">
        <f t="array" ref="J27">_xll.BDP(A27,J$19)</f>
        <v>0.12000000569969416</v>
      </c>
      <c r="K27" s="6" cm="1">
        <f t="array" ref="K27">_xll.BDP($A27,K$19)</f>
        <v>28195.8</v>
      </c>
    </row>
    <row r="28" spans="1:55" x14ac:dyDescent="0.25">
      <c r="A28" t="str">
        <f t="shared" si="8"/>
        <v>SFIZ6M7 comdty</v>
      </c>
      <c r="B28" s="5" t="str">
        <f t="shared" si="6"/>
        <v>SFIZ6M7</v>
      </c>
      <c r="C28" cm="1">
        <f t="array" ref="C28">_xll.BDP($N12,P$4)</f>
        <v>-0.05</v>
      </c>
      <c r="D28" s="3" cm="1">
        <f t="array" aca="1" ref="D28" ca="1">((F28+G28)/2) - (_xll.BDH($N12,$P$4,$N$19))</f>
        <v>-2.5000000000000022E-3</v>
      </c>
      <c r="E28" cm="1">
        <f t="array" ref="E28">_xll.BDP($N12,Q$4)</f>
        <v>3775</v>
      </c>
      <c r="F28" cm="1">
        <f t="array" ref="F28">_xll.BDP($N12,S$4)</f>
        <v>-0.05</v>
      </c>
      <c r="G28" cm="1">
        <f t="array" ref="G28">_xll.BDP($N12,T$4)</f>
        <v>-4.4999999999999998E-2</v>
      </c>
      <c r="H28" s="2">
        <f t="shared" ca="1" si="7"/>
        <v>-0.25441336159867567</v>
      </c>
      <c r="I28" s="2"/>
      <c r="J28" cm="1">
        <f t="array" ref="J28">_xll.BDP(A28,J$19)</f>
        <v>6.0000000521540642E-2</v>
      </c>
      <c r="K28" s="6" cm="1">
        <f t="array" ref="K28">_xll.BDP($A28,K$19)</f>
        <v>11516.25</v>
      </c>
    </row>
    <row r="29" spans="1:55" hidden="1" x14ac:dyDescent="0.25">
      <c r="A29" t="str">
        <f t="shared" si="8"/>
        <v>SFI2YM6 comdty</v>
      </c>
      <c r="B29" s="5" t="str">
        <f t="shared" si="6"/>
        <v>SFI2YM6</v>
      </c>
      <c r="C29" cm="1">
        <f t="array" ref="C29">_xll.BDP($N13,P$4)</f>
        <v>95.983750000000001</v>
      </c>
      <c r="D29" s="3" cm="1">
        <f t="array" aca="1" ref="D29" ca="1">((F29+G29)/2) - (_xll.BDH($N13,$P$4,$N$19))</f>
        <v>-5.0624999999996589E-2</v>
      </c>
      <c r="E29" cm="1">
        <f t="array" ref="E29">_xll.BDP($N13,Q$4)</f>
        <v>3470</v>
      </c>
      <c r="F29" cm="1">
        <f t="array" ref="F29">_xll.BDP($N13,S$4)</f>
        <v>95.972499999999997</v>
      </c>
      <c r="G29" cm="1">
        <f t="array" ref="G29">_xll.BDP($N13,T$4)</f>
        <v>95.975009999999997</v>
      </c>
      <c r="H29" s="2">
        <f t="shared" ca="1" si="7"/>
        <v>1.0552649263311604</v>
      </c>
      <c r="I29" s="2"/>
      <c r="J29" t="str" cm="1">
        <f t="array" ref="J29">_xll.BDP(A29,J$19)</f>
        <v>#N/A Field Not Applicable</v>
      </c>
      <c r="K29" s="6" cm="1">
        <f t="array" ref="K29">_xll.BDP($A29,K$19)</f>
        <v>5031.3</v>
      </c>
    </row>
    <row r="30" spans="1:55" x14ac:dyDescent="0.25">
      <c r="A30" t="str">
        <f t="shared" si="8"/>
        <v>SFIM7Z7 comdty</v>
      </c>
      <c r="B30" s="5" t="str">
        <f t="shared" si="6"/>
        <v>SFIM7Z7</v>
      </c>
      <c r="C30" cm="1">
        <f t="array" ref="C30">_xll.BDP($N14,P$4)</f>
        <v>-9.5000000000000001E-2</v>
      </c>
      <c r="D30" s="3" cm="1">
        <f t="array" aca="1" ref="D30" ca="1">((F30+G30)/2) - (_xll.BDH($N14,$P$4,$N$19))</f>
        <v>-2.5000000000000022E-3</v>
      </c>
      <c r="E30" cm="1">
        <f t="array" ref="E30">_xll.BDP($N14,Q$4)</f>
        <v>3270</v>
      </c>
      <c r="F30" cm="1">
        <f t="array" ref="F30">_xll.BDP($N14,S$4)</f>
        <v>-9.5000000000000001E-2</v>
      </c>
      <c r="G30" cm="1">
        <f t="array" ref="G30">_xll.BDP($N14,T$4)</f>
        <v>-0.09</v>
      </c>
      <c r="H30" s="2">
        <f t="shared" ca="1" si="7"/>
        <v>1.3399000471845823</v>
      </c>
      <c r="I30" s="2"/>
      <c r="J30" cm="1">
        <f t="array" ref="J30">_xll.BDP(A30,J$19)</f>
        <v>-5.0000026822090149E-3</v>
      </c>
      <c r="K30" s="6" cm="1">
        <f t="array" ref="K30">_xll.BDP($A30,K$19)</f>
        <v>17412.75</v>
      </c>
    </row>
    <row r="31" spans="1:55" hidden="1" x14ac:dyDescent="0.25">
      <c r="A31" t="str">
        <f t="shared" si="8"/>
        <v>SFIZ7H8 comdty</v>
      </c>
      <c r="B31" s="5" t="str">
        <f t="shared" si="6"/>
        <v>SFIZ7H8</v>
      </c>
      <c r="C31" cm="1">
        <f t="array" ref="C31">_xll.BDP($N15,P$4)</f>
        <v>-5.0000000000000001E-3</v>
      </c>
      <c r="D31" s="3" cm="1">
        <f t="array" aca="1" ref="D31" ca="1">((F31+G31)/2) - (_xll.BDH($N15,$P$4,$N$19))</f>
        <v>-7.5000000000000006E-3</v>
      </c>
      <c r="E31" cm="1">
        <f t="array" ref="E31">_xll.BDP($N15,Q$4)</f>
        <v>2400</v>
      </c>
      <c r="F31" cm="1">
        <f t="array" ref="F31">_xll.BDP($N15,S$4)</f>
        <v>-1.4999999999999999E-2</v>
      </c>
      <c r="G31" cm="1">
        <f t="array" ref="G31">_xll.BDP($N15,T$4)</f>
        <v>-0.01</v>
      </c>
      <c r="H31" s="2">
        <f t="shared" ca="1" si="7"/>
        <v>1.4815602407219119</v>
      </c>
      <c r="I31" s="2"/>
      <c r="J31" cm="1">
        <f t="array" ref="J31">_xll.BDP(A31,J$19)</f>
        <v>-3.4999999217689037E-2</v>
      </c>
      <c r="K31" s="6" cm="1">
        <f t="array" ref="K31">_xll.BDP($A31,K$19)</f>
        <v>16038</v>
      </c>
    </row>
    <row r="32" spans="1:55" x14ac:dyDescent="0.25">
      <c r="A32" t="str">
        <f t="shared" si="8"/>
        <v>SFIM7Z7 comdty</v>
      </c>
      <c r="B32" s="5" t="str">
        <f t="shared" si="6"/>
        <v>SFIM7Z7</v>
      </c>
      <c r="C32" cm="1">
        <f t="array" ref="C32">_xll.BDP($N16,P$4)</f>
        <v>-9.5000000000000001E-2</v>
      </c>
      <c r="D32" s="3" cm="1">
        <f t="array" aca="1" ref="D32" ca="1">((F32+G32)/2) - (_xll.BDH($N16,$P$4,$N$19))</f>
        <v>-2.5000000000000022E-3</v>
      </c>
      <c r="E32" cm="1">
        <f t="array" ref="E32">_xll.BDP($N16,Q$4)</f>
        <v>3270</v>
      </c>
      <c r="F32" cm="1">
        <f t="array" ref="F32">_xll.BDP($N16,S$4)</f>
        <v>-9.5000000000000001E-2</v>
      </c>
      <c r="G32" cm="1">
        <f t="array" ref="G32">_xll.BDP($N16,T$4)</f>
        <v>-0.09</v>
      </c>
      <c r="H32" s="2">
        <f t="shared" ca="1" si="7"/>
        <v>1.3399000471845823</v>
      </c>
      <c r="I32" s="2"/>
      <c r="J32" cm="1">
        <f t="array" ref="J32">_xll.BDP(A32,J$19)</f>
        <v>-5.0000026822090149E-3</v>
      </c>
      <c r="K32" s="6" cm="1">
        <f t="array" ref="K32">_xll.BDP($A32,K$19)</f>
        <v>17412.75</v>
      </c>
    </row>
  </sheetData>
  <conditionalFormatting sqref="E22:E32">
    <cfRule type="colorScale" priority="2">
      <colorScale>
        <cfvo type="min"/>
        <cfvo type="max"/>
        <color rgb="FFFCFCFF"/>
        <color rgb="FF63BE7B"/>
      </colorScale>
    </cfRule>
  </conditionalFormatting>
  <conditionalFormatting sqref="H22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I32 X6:Z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88A585B6-679E-4BB9-9B05-09E90E6463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'Fut Flow SFI'!AI6:BC6</xm:f>
              <xm:sqref>I22</xm:sqref>
            </x14:sparkline>
            <x14:sparkline>
              <xm:f>'Fut Flow SFI'!AI7:BC7</xm:f>
              <xm:sqref>I23</xm:sqref>
            </x14:sparkline>
            <x14:sparkline>
              <xm:f>'Fut Flow SFI'!AI8:BC8</xm:f>
              <xm:sqref>I24</xm:sqref>
            </x14:sparkline>
            <x14:sparkline>
              <xm:f>'Fut Flow SFI'!AI9:BC9</xm:f>
              <xm:sqref>I25</xm:sqref>
            </x14:sparkline>
            <x14:sparkline>
              <xm:f>'Fut Flow SFI'!AI10:BC10</xm:f>
              <xm:sqref>I26</xm:sqref>
            </x14:sparkline>
            <x14:sparkline>
              <xm:f>'Fut Flow SFI'!AI11:BC11</xm:f>
              <xm:sqref>I27</xm:sqref>
            </x14:sparkline>
            <x14:sparkline>
              <xm:f>'Fut Flow SFI'!AI12:BC12</xm:f>
              <xm:sqref>I28</xm:sqref>
            </x14:sparkline>
            <x14:sparkline>
              <xm:f>'Fut Flow SFI'!AI13:BC13</xm:f>
              <xm:sqref>I29</xm:sqref>
            </x14:sparkline>
            <x14:sparkline>
              <xm:f>'Fut Flow SFI'!AI14:BC14</xm:f>
              <xm:sqref>I30</xm:sqref>
            </x14:sparkline>
            <x14:sparkline>
              <xm:f>'Fut Flow SFI'!AI15:BC15</xm:f>
              <xm:sqref>I31</xm:sqref>
            </x14:sparkline>
            <x14:sparkline>
              <xm:f>'Fut Flow SFI'!AI16:BC16</xm:f>
              <xm:sqref>I32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692D-7014-486D-A116-5DA06ADC8690}">
  <dimension ref="A3:BC32"/>
  <sheetViews>
    <sheetView topLeftCell="B13" workbookViewId="0">
      <selection activeCell="B21" sqref="B21:K30"/>
    </sheetView>
  </sheetViews>
  <sheetFormatPr defaultRowHeight="15" x14ac:dyDescent="0.25"/>
  <cols>
    <col min="1" max="1" width="0" hidden="1" customWidth="1"/>
    <col min="2" max="3" width="13" customWidth="1"/>
    <col min="4" max="4" width="8.140625" bestFit="1" customWidth="1"/>
    <col min="8" max="8" width="10.5703125" customWidth="1"/>
    <col min="9" max="9" width="17.7109375" customWidth="1"/>
    <col min="10" max="10" width="10.5703125" customWidth="1"/>
    <col min="11" max="11" width="14.140625" customWidth="1"/>
    <col min="12" max="12" width="14" customWidth="1"/>
    <col min="13" max="13" width="9.140625" customWidth="1"/>
    <col min="14" max="14" width="11.140625" customWidth="1"/>
    <col min="15" max="15" width="12.7109375" customWidth="1"/>
    <col min="16" max="16" width="8.85546875" customWidth="1"/>
    <col min="18" max="18" width="8" customWidth="1"/>
    <col min="21" max="21" width="9.140625" customWidth="1"/>
    <col min="23" max="23" width="19" customWidth="1"/>
    <col min="32" max="54" width="10.42578125" bestFit="1" customWidth="1"/>
    <col min="698" max="698" width="9.85546875" bestFit="1" customWidth="1"/>
    <col min="699" max="699" width="19.28515625" bestFit="1" customWidth="1"/>
  </cols>
  <sheetData>
    <row r="3" spans="2:55" x14ac:dyDescent="0.25">
      <c r="AF3">
        <v>-23</v>
      </c>
      <c r="AG3">
        <v>-22</v>
      </c>
      <c r="AH3">
        <v>-21</v>
      </c>
      <c r="AI3">
        <v>-20</v>
      </c>
      <c r="AJ3">
        <v>-19</v>
      </c>
      <c r="AK3">
        <v>-18</v>
      </c>
      <c r="AL3">
        <v>-17</v>
      </c>
      <c r="AM3">
        <v>-16</v>
      </c>
      <c r="AN3">
        <v>-15</v>
      </c>
      <c r="AO3">
        <v>-14</v>
      </c>
      <c r="AP3">
        <v>-13</v>
      </c>
      <c r="AQ3">
        <v>-12</v>
      </c>
      <c r="AR3">
        <v>-11</v>
      </c>
      <c r="AS3">
        <v>-10</v>
      </c>
      <c r="AT3">
        <v>-9</v>
      </c>
      <c r="AU3">
        <v>-8</v>
      </c>
      <c r="AV3">
        <v>-7</v>
      </c>
      <c r="AW3">
        <v>-6</v>
      </c>
      <c r="AX3">
        <v>-5</v>
      </c>
      <c r="AY3">
        <v>-4</v>
      </c>
      <c r="AZ3">
        <v>-3</v>
      </c>
      <c r="BA3">
        <v>-2</v>
      </c>
      <c r="BB3">
        <v>-1</v>
      </c>
    </row>
    <row r="4" spans="2:55" x14ac:dyDescent="0.25">
      <c r="P4" t="s">
        <v>2</v>
      </c>
      <c r="Q4" t="s">
        <v>4</v>
      </c>
      <c r="R4" t="s">
        <v>5</v>
      </c>
      <c r="S4" t="s">
        <v>6</v>
      </c>
      <c r="T4" t="s">
        <v>7</v>
      </c>
      <c r="U4" t="s">
        <v>8</v>
      </c>
      <c r="V4" t="s">
        <v>9</v>
      </c>
    </row>
    <row r="5" spans="2:55" x14ac:dyDescent="0.25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X5" s="5"/>
      <c r="Y5" s="5"/>
      <c r="Z5" s="5"/>
      <c r="AB5" t="s">
        <v>0</v>
      </c>
      <c r="AC5" t="s">
        <v>1</v>
      </c>
      <c r="AD5" t="s">
        <v>20</v>
      </c>
      <c r="AF5" s="1">
        <f ca="1">WORKDAY(TODAY(),AF$3)</f>
        <v>46100</v>
      </c>
      <c r="AG5" s="1">
        <f t="shared" ref="AG5:BB5" ca="1" si="0">WORKDAY(TODAY(),AG$3)</f>
        <v>46101</v>
      </c>
      <c r="AH5" s="1">
        <f t="shared" ca="1" si="0"/>
        <v>46104</v>
      </c>
      <c r="AI5" s="1">
        <f t="shared" ca="1" si="0"/>
        <v>46105</v>
      </c>
      <c r="AJ5" s="1">
        <f t="shared" ca="1" si="0"/>
        <v>46106</v>
      </c>
      <c r="AK5" s="1">
        <f t="shared" ca="1" si="0"/>
        <v>46107</v>
      </c>
      <c r="AL5" s="1">
        <f t="shared" ca="1" si="0"/>
        <v>46108</v>
      </c>
      <c r="AM5" s="1">
        <f t="shared" ca="1" si="0"/>
        <v>46111</v>
      </c>
      <c r="AN5" s="1">
        <f t="shared" ca="1" si="0"/>
        <v>46112</v>
      </c>
      <c r="AO5" s="1">
        <f t="shared" ca="1" si="0"/>
        <v>46113</v>
      </c>
      <c r="AP5" s="1">
        <f t="shared" ca="1" si="0"/>
        <v>46114</v>
      </c>
      <c r="AQ5" s="1">
        <f t="shared" ca="1" si="0"/>
        <v>46115</v>
      </c>
      <c r="AR5" s="1">
        <f t="shared" ca="1" si="0"/>
        <v>46118</v>
      </c>
      <c r="AS5" s="1">
        <f t="shared" ca="1" si="0"/>
        <v>46119</v>
      </c>
      <c r="AT5" s="1">
        <f t="shared" ca="1" si="0"/>
        <v>46120</v>
      </c>
      <c r="AU5" s="1">
        <f t="shared" ca="1" si="0"/>
        <v>46121</v>
      </c>
      <c r="AV5" s="1">
        <f t="shared" ca="1" si="0"/>
        <v>46122</v>
      </c>
      <c r="AW5" s="1">
        <f t="shared" ca="1" si="0"/>
        <v>46125</v>
      </c>
      <c r="AX5" s="1">
        <f t="shared" ca="1" si="0"/>
        <v>46126</v>
      </c>
      <c r="AY5" s="1">
        <f t="shared" ca="1" si="0"/>
        <v>46127</v>
      </c>
      <c r="AZ5" s="1">
        <f t="shared" ca="1" si="0"/>
        <v>46128</v>
      </c>
      <c r="BA5" s="1">
        <f t="shared" ca="1" si="0"/>
        <v>46129</v>
      </c>
      <c r="BB5" s="1">
        <f t="shared" ca="1" si="0"/>
        <v>46132</v>
      </c>
    </row>
    <row r="6" spans="2:55" x14ac:dyDescent="0.25">
      <c r="B6" t="s">
        <v>64</v>
      </c>
      <c r="C6" t="s">
        <v>65</v>
      </c>
      <c r="D6">
        <v>3722</v>
      </c>
      <c r="E6">
        <v>0.125</v>
      </c>
      <c r="F6">
        <v>0.1275</v>
      </c>
      <c r="G6">
        <v>7815</v>
      </c>
      <c r="H6">
        <v>11609</v>
      </c>
      <c r="I6">
        <v>0.125</v>
      </c>
      <c r="J6" t="s">
        <v>122</v>
      </c>
      <c r="K6" t="s">
        <v>66</v>
      </c>
      <c r="N6" t="str">
        <f t="shared" ref="N6:N17" si="1">B6&amp;" comdty"</f>
        <v>TKYERM6 comdty</v>
      </c>
      <c r="X6" s="2"/>
      <c r="Y6" s="2"/>
      <c r="Z6" s="2"/>
      <c r="AB6">
        <f ca="1">AVERAGE(AI6:BB6)</f>
        <v>0.13350000000000001</v>
      </c>
      <c r="AC6">
        <f ca="1">_xlfn.STDEV.P(AI6:BB6)</f>
        <v>5.8843011479699078E-3</v>
      </c>
      <c r="AD6">
        <f t="shared" ref="AD6:AD16" ca="1" si="2">(C22-AB6)/AC6</f>
        <v>-1.4445215814510988</v>
      </c>
      <c r="AF6" cm="1">
        <f t="array" aca="1" ref="AF6" ca="1">_xll.BDH($N6,$P$4,AF$5)</f>
        <v>0.14499999999999999</v>
      </c>
      <c r="AG6" cm="1">
        <f t="array" aca="1" ref="AG6" ca="1">_xll.BDH($N6,$P$4,AG$5)</f>
        <v>0.14499999999999999</v>
      </c>
      <c r="AH6" cm="1">
        <f t="array" aca="1" ref="AH6" ca="1">_xll.BDH($N6,$P$4,AH$5)</f>
        <v>0.14249999999999999</v>
      </c>
      <c r="AI6" cm="1">
        <f t="array" aca="1" ref="AI6" ca="1">IF(ISNUMBER(_xll.BDH($N6,$P$4,AI$5)),
   _xll.BDH($N6,$P$4,AI$5),
   LOOKUP(2, 1/(ISNUMBER(AF6:AH6)), AF6:AH6))</f>
        <v>0.14249999999999999</v>
      </c>
      <c r="AJ6" cm="1">
        <f t="array" aca="1" ref="AJ6" ca="1">IF(ISNUMBER(_xll.BDH($N6,$P$4,AJ$5)),
   _xll.BDH($N6,$P$4,AJ$5),
   LOOKUP(2, 1/(ISNUMBER(AG6:AI6)), AG6:AI6))</f>
        <v>0.14000000000000001</v>
      </c>
      <c r="AK6" cm="1">
        <f t="array" aca="1" ref="AK6" ca="1">IF(ISNUMBER(_xll.BDH($N6,$P$4,AK$5)),
   _xll.BDH($N6,$P$4,AK$5),
   LOOKUP(2, 1/(ISNUMBER(AH6:AJ6)), AH6:AJ6))</f>
        <v>0.14499999999999999</v>
      </c>
      <c r="AL6" cm="1">
        <f t="array" aca="1" ref="AL6" ca="1">IF(ISNUMBER(_xll.BDH($N6,$P$4,AL$5)),
   _xll.BDH($N6,$P$4,AL$5),
   LOOKUP(2, 1/(ISNUMBER(AI6:AK6)), AI6:AK6))</f>
        <v>0.14499999999999999</v>
      </c>
      <c r="AM6" cm="1">
        <f t="array" aca="1" ref="AM6" ca="1">IF(ISNUMBER(_xll.BDH($N6,$P$4,AM$5)),
   _xll.BDH($N6,$P$4,AM$5),
   LOOKUP(2, 1/(ISNUMBER(AJ6:AL6)), AJ6:AL6))</f>
        <v>0.13750000000000001</v>
      </c>
      <c r="AN6" cm="1">
        <f t="array" aca="1" ref="AN6" ca="1">IF(ISNUMBER(_xll.BDH($N6,$P$4,AN$5)),
   _xll.BDH($N6,$P$4,AN$5),
   LOOKUP(2, 1/(ISNUMBER(AK6:AM6)), AK6:AM6))</f>
        <v>0.13</v>
      </c>
      <c r="AO6" cm="1">
        <f t="array" aca="1" ref="AO6" ca="1">IF(ISNUMBER(_xll.BDH($N6,$P$4,AO$5)),
   _xll.BDH($N6,$P$4,AO$5),
   LOOKUP(2, 1/(ISNUMBER(AL6:AN6)), AL6:AN6))</f>
        <v>0.13</v>
      </c>
      <c r="AP6" cm="1">
        <f t="array" aca="1" ref="AP6" ca="1">IF(ISNUMBER(_xll.BDH($N6,$P$4,AP$5)),
   _xll.BDH($N6,$P$4,AP$5),
   LOOKUP(2, 1/(ISNUMBER(AM6:AO6)), AM6:AO6))</f>
        <v>0.13250000000000001</v>
      </c>
      <c r="AQ6" cm="1">
        <f t="array" aca="1" ref="AQ6" ca="1">IF(ISNUMBER(_xll.BDH($N6,$P$4,AQ$5)),
   _xll.BDH($N6,$P$4,AQ$5),
   LOOKUP(2, 1/(ISNUMBER(AN6:AP6)), AN6:AP6))</f>
        <v>0.13250000000000001</v>
      </c>
      <c r="AR6" cm="1">
        <f t="array" aca="1" ref="AR6" ca="1">IF(ISNUMBER(_xll.BDH($N6,$P$4,AR$5)),
   _xll.BDH($N6,$P$4,AR$5),
   LOOKUP(2, 1/(ISNUMBER(AO6:AQ6)), AO6:AQ6))</f>
        <v>0.13250000000000001</v>
      </c>
      <c r="AS6" cm="1">
        <f t="array" aca="1" ref="AS6" ca="1">IF(ISNUMBER(_xll.BDH($N6,$P$4,AS$5)),
   _xll.BDH($N6,$P$4,AS$5),
   LOOKUP(2, 1/(ISNUMBER(AP6:AR6)), AP6:AR6))</f>
        <v>0.14000000000000001</v>
      </c>
      <c r="AT6" cm="1">
        <f t="array" aca="1" ref="AT6" ca="1">IF(ISNUMBER(_xll.BDH($N6,$P$4,AT$5)),
   _xll.BDH($N6,$P$4,AT$5),
   LOOKUP(2, 1/(ISNUMBER(AQ6:AS6)), AQ6:AS6))</f>
        <v>0.13250000000000001</v>
      </c>
      <c r="AU6" cm="1">
        <f t="array" aca="1" ref="AU6" ca="1">IF(ISNUMBER(_xll.BDH($N6,$P$4,AU$5)),
   _xll.BDH($N6,$P$4,AU$5),
   LOOKUP(2, 1/(ISNUMBER(AR6:AT6)), AR6:AT6))</f>
        <v>0.13</v>
      </c>
      <c r="AV6" cm="1">
        <f t="array" aca="1" ref="AV6" ca="1">IF(ISNUMBER(_xll.BDH($N6,$P$4,AV$5)),
   _xll.BDH($N6,$P$4,AV$5),
   LOOKUP(2, 1/(ISNUMBER(AS6:AU6)), AS6:AU6))</f>
        <v>0.13250000000000001</v>
      </c>
      <c r="AW6" cm="1">
        <f t="array" aca="1" ref="AW6" ca="1">IF(ISNUMBER(_xll.BDH($N6,$P$4,AW$5)),
   _xll.BDH($N6,$P$4,AW$5),
   LOOKUP(2, 1/(ISNUMBER(AT6:AV6)), AT6:AV6))</f>
        <v>0.1275</v>
      </c>
      <c r="AX6" cm="1">
        <f t="array" aca="1" ref="AX6" ca="1">IF(ISNUMBER(_xll.BDH($N6,$P$4,AX$5)),
   _xll.BDH($N6,$P$4,AX$5),
   LOOKUP(2, 1/(ISNUMBER(AU6:AW6)), AU6:AW6))</f>
        <v>0.13</v>
      </c>
      <c r="AY6" cm="1">
        <f t="array" aca="1" ref="AY6" ca="1">IF(ISNUMBER(_xll.BDH($N6,$P$4,AY$5)),
   _xll.BDH($N6,$P$4,AY$5),
   LOOKUP(2, 1/(ISNUMBER(AV6:AX6)), AV6:AX6))</f>
        <v>0.1275</v>
      </c>
      <c r="AZ6" cm="1">
        <f t="array" aca="1" ref="AZ6" ca="1">IF(ISNUMBER(_xll.BDH($N6,$P$4,AZ$5)),
   _xll.BDH($N6,$P$4,AZ$5),
   LOOKUP(2, 1/(ISNUMBER(AW6:AY6)), AW6:AY6))</f>
        <v>0.13</v>
      </c>
      <c r="BA6" cm="1">
        <f t="array" aca="1" ref="BA6" ca="1">IF(ISNUMBER(_xll.BDH($N6,$P$4,BA$5)),
   _xll.BDH($N6,$P$4,BA$5),
   LOOKUP(2, 1/(ISNUMBER(AX6:AZ6)), AX6:AZ6))</f>
        <v>0.125</v>
      </c>
      <c r="BB6" cm="1">
        <f t="array" aca="1" ref="BB6" ca="1">IF(ISNUMBER(_xll.BDH($N6,$P$4,BB$5)),
   _xll.BDH($N6,$P$4,BB$5),
   LOOKUP(2, 1/(ISNUMBER(AY6:BA6)), AY6:BA6))</f>
        <v>0.1275</v>
      </c>
      <c r="BC6">
        <f t="shared" ref="BC6:BC16" si="3">C22</f>
        <v>0.125</v>
      </c>
    </row>
    <row r="7" spans="2:55" x14ac:dyDescent="0.25">
      <c r="B7" t="s">
        <v>123</v>
      </c>
      <c r="C7" t="s">
        <v>124</v>
      </c>
      <c r="D7">
        <v>3453</v>
      </c>
      <c r="E7">
        <v>0.13500000000000001</v>
      </c>
      <c r="F7">
        <v>0.13750000000000001</v>
      </c>
      <c r="G7">
        <v>5675</v>
      </c>
      <c r="H7">
        <v>10662</v>
      </c>
      <c r="I7">
        <v>0.13500000000000001</v>
      </c>
      <c r="J7" t="s">
        <v>125</v>
      </c>
      <c r="K7" t="s">
        <v>66</v>
      </c>
      <c r="N7" t="str">
        <f t="shared" si="1"/>
        <v>TKYERZ6 comdty</v>
      </c>
      <c r="X7" s="2"/>
      <c r="Y7" s="2"/>
      <c r="Z7" s="2"/>
      <c r="AB7">
        <f t="shared" ref="AB7:AB16" ca="1" si="4">AVERAGE(AI7:BB7)</f>
        <v>0.14412500000000006</v>
      </c>
      <c r="AC7">
        <f t="shared" ref="AC7:AC16" ca="1" si="5">_xlfn.STDEV.P(AI7:BB7)</f>
        <v>5.0790624134775045E-3</v>
      </c>
      <c r="AD7">
        <f t="shared" ca="1" si="2"/>
        <v>-1.7965914291162244</v>
      </c>
      <c r="AF7" cm="1">
        <f t="array" aca="1" ref="AF7" ca="1">_xll.BDH($N7,$P$4,AF$5)</f>
        <v>0.1525</v>
      </c>
      <c r="AG7" cm="1">
        <f t="array" aca="1" ref="AG7" ca="1">_xll.BDH($N7,$P$4,AG$5)</f>
        <v>0.1575</v>
      </c>
      <c r="AH7" cm="1">
        <f t="array" aca="1" ref="AH7" ca="1">_xll.BDH($N7,$P$4,AH$5)</f>
        <v>0.1525</v>
      </c>
      <c r="AI7" cm="1">
        <f t="array" aca="1" ref="AI7" ca="1">IF(ISNUMBER(_xll.BDH($N7,$P$4,AI$5)),
   _xll.BDH($N7,$P$4,AI$5),
   LOOKUP(2, 1/(ISNUMBER(AF7:AH7)), AF7:AH7))</f>
        <v>0.14749999999999999</v>
      </c>
      <c r="AJ7" cm="1">
        <f t="array" aca="1" ref="AJ7" ca="1">IF(ISNUMBER(_xll.BDH($N7,$P$4,AJ$5)),
   _xll.BDH($N7,$P$4,AJ$5),
   LOOKUP(2, 1/(ISNUMBER(AG7:AI7)), AG7:AI7))</f>
        <v>0.14499999999999999</v>
      </c>
      <c r="AK7" cm="1">
        <f t="array" aca="1" ref="AK7" ca="1">IF(ISNUMBER(_xll.BDH($N7,$P$4,AK$5)),
   _xll.BDH($N7,$P$4,AK$5),
   LOOKUP(2, 1/(ISNUMBER(AH7:AJ7)), AH7:AJ7))</f>
        <v>0.15</v>
      </c>
      <c r="AL7" cm="1">
        <f t="array" aca="1" ref="AL7" ca="1">IF(ISNUMBER(_xll.BDH($N7,$P$4,AL$5)),
   _xll.BDH($N7,$P$4,AL$5),
   LOOKUP(2, 1/(ISNUMBER(AI7:AK7)), AI7:AK7))</f>
        <v>0.1525</v>
      </c>
      <c r="AM7" cm="1">
        <f t="array" aca="1" ref="AM7" ca="1">IF(ISNUMBER(_xll.BDH($N7,$P$4,AM$5)),
   _xll.BDH($N7,$P$4,AM$5),
   LOOKUP(2, 1/(ISNUMBER(AJ7:AL7)), AJ7:AL7))</f>
        <v>0.15</v>
      </c>
      <c r="AN7" cm="1">
        <f t="array" aca="1" ref="AN7" ca="1">IF(ISNUMBER(_xll.BDH($N7,$P$4,AN$5)),
   _xll.BDH($N7,$P$4,AN$5),
   LOOKUP(2, 1/(ISNUMBER(AK7:AM7)), AK7:AM7))</f>
        <v>0.15</v>
      </c>
      <c r="AO7" cm="1">
        <f t="array" aca="1" ref="AO7" ca="1">IF(ISNUMBER(_xll.BDH($N7,$P$4,AO$5)),
   _xll.BDH($N7,$P$4,AO$5),
   LOOKUP(2, 1/(ISNUMBER(AL7:AN7)), AL7:AN7))</f>
        <v>0.14249999999999999</v>
      </c>
      <c r="AP7" cm="1">
        <f t="array" aca="1" ref="AP7" ca="1">IF(ISNUMBER(_xll.BDH($N7,$P$4,AP$5)),
   _xll.BDH($N7,$P$4,AP$5),
   LOOKUP(2, 1/(ISNUMBER(AM7:AO7)), AM7:AO7))</f>
        <v>0.14749999999999999</v>
      </c>
      <c r="AQ7" cm="1">
        <f t="array" aca="1" ref="AQ7" ca="1">IF(ISNUMBER(_xll.BDH($N7,$P$4,AQ$5)),
   _xll.BDH($N7,$P$4,AQ$5),
   LOOKUP(2, 1/(ISNUMBER(AN7:AP7)), AN7:AP7))</f>
        <v>0.14749999999999999</v>
      </c>
      <c r="AR7" cm="1">
        <f t="array" aca="1" ref="AR7" ca="1">IF(ISNUMBER(_xll.BDH($N7,$P$4,AR$5)),
   _xll.BDH($N7,$P$4,AR$5),
   LOOKUP(2, 1/(ISNUMBER(AO7:AQ7)), AO7:AQ7))</f>
        <v>0.14749999999999999</v>
      </c>
      <c r="AS7" cm="1">
        <f t="array" aca="1" ref="AS7" ca="1">IF(ISNUMBER(_xll.BDH($N7,$P$4,AS$5)),
   _xll.BDH($N7,$P$4,AS$5),
   LOOKUP(2, 1/(ISNUMBER(AP7:AR7)), AP7:AR7))</f>
        <v>0.15</v>
      </c>
      <c r="AT7" cm="1">
        <f t="array" aca="1" ref="AT7" ca="1">IF(ISNUMBER(_xll.BDH($N7,$P$4,AT$5)),
   _xll.BDH($N7,$P$4,AT$5),
   LOOKUP(2, 1/(ISNUMBER(AQ7:AS7)), AQ7:AS7))</f>
        <v>0.14000000000000001</v>
      </c>
      <c r="AU7" cm="1">
        <f t="array" aca="1" ref="AU7" ca="1">IF(ISNUMBER(_xll.BDH($N7,$P$4,AU$5)),
   _xll.BDH($N7,$P$4,AU$5),
   LOOKUP(2, 1/(ISNUMBER(AR7:AT7)), AR7:AT7))</f>
        <v>0.14000000000000001</v>
      </c>
      <c r="AV7" cm="1">
        <f t="array" aca="1" ref="AV7" ca="1">IF(ISNUMBER(_xll.BDH($N7,$P$4,AV$5)),
   _xll.BDH($N7,$P$4,AV$5),
   LOOKUP(2, 1/(ISNUMBER(AS7:AU7)), AS7:AU7))</f>
        <v>0.14000000000000001</v>
      </c>
      <c r="AW7" cm="1">
        <f t="array" aca="1" ref="AW7" ca="1">IF(ISNUMBER(_xll.BDH($N7,$P$4,AW$5)),
   _xll.BDH($N7,$P$4,AW$5),
   LOOKUP(2, 1/(ISNUMBER(AT7:AV7)), AT7:AV7))</f>
        <v>0.14000000000000001</v>
      </c>
      <c r="AX7" cm="1">
        <f t="array" aca="1" ref="AX7" ca="1">IF(ISNUMBER(_xll.BDH($N7,$P$4,AX$5)),
   _xll.BDH($N7,$P$4,AX$5),
   LOOKUP(2, 1/(ISNUMBER(AU7:AW7)), AU7:AW7))</f>
        <v>0.14249999999999999</v>
      </c>
      <c r="AY7" cm="1">
        <f t="array" aca="1" ref="AY7" ca="1">IF(ISNUMBER(_xll.BDH($N7,$P$4,AY$5)),
   _xll.BDH($N7,$P$4,AY$5),
   LOOKUP(2, 1/(ISNUMBER(AV7:AX7)), AV7:AX7))</f>
        <v>0.13750000000000001</v>
      </c>
      <c r="AZ7" cm="1">
        <f t="array" aca="1" ref="AZ7" ca="1">IF(ISNUMBER(_xll.BDH($N7,$P$4,AZ$5)),
   _xll.BDH($N7,$P$4,AZ$5),
   LOOKUP(2, 1/(ISNUMBER(AW7:AY7)), AW7:AY7))</f>
        <v>0.14000000000000001</v>
      </c>
      <c r="BA7" cm="1">
        <f t="array" aca="1" ref="BA7" ca="1">IF(ISNUMBER(_xll.BDH($N7,$P$4,BA$5)),
   _xll.BDH($N7,$P$4,BA$5),
   LOOKUP(2, 1/(ISNUMBER(AX7:AZ7)), AX7:AZ7))</f>
        <v>0.13750000000000001</v>
      </c>
      <c r="BB7" cm="1">
        <f t="array" aca="1" ref="BB7" ca="1">IF(ISNUMBER(_xll.BDH($N7,$P$4,BB$5)),
   _xll.BDH($N7,$P$4,BB$5),
   LOOKUP(2, 1/(ISNUMBER(AY7:BA7)), AY7:BA7))</f>
        <v>0.13500000000000001</v>
      </c>
      <c r="BC7">
        <f t="shared" si="3"/>
        <v>0.13500000000000001</v>
      </c>
    </row>
    <row r="8" spans="2:55" x14ac:dyDescent="0.25">
      <c r="B8" t="s">
        <v>126</v>
      </c>
      <c r="C8" t="s">
        <v>127</v>
      </c>
      <c r="D8">
        <v>1714</v>
      </c>
      <c r="E8">
        <v>0.14000000000000001</v>
      </c>
      <c r="F8">
        <v>0.14249999999999999</v>
      </c>
      <c r="G8">
        <v>3129</v>
      </c>
      <c r="H8">
        <v>7800</v>
      </c>
      <c r="I8">
        <v>0.14000000000000001</v>
      </c>
      <c r="J8" t="s">
        <v>128</v>
      </c>
      <c r="K8" t="s">
        <v>66</v>
      </c>
      <c r="N8" t="str">
        <f t="shared" si="1"/>
        <v>TKYERM7 comdty</v>
      </c>
      <c r="X8" s="2"/>
      <c r="Y8" s="2"/>
      <c r="Z8" s="2"/>
      <c r="AB8">
        <f t="shared" ca="1" si="4"/>
        <v>0.14625000000000002</v>
      </c>
      <c r="AC8">
        <f t="shared" ca="1" si="5"/>
        <v>4.1457809879442481E-3</v>
      </c>
      <c r="AD8">
        <f t="shared" ca="1" si="2"/>
        <v>-1.50755672288882</v>
      </c>
      <c r="AF8" cm="1">
        <f t="array" aca="1" ref="AF8" ca="1">_xll.BDH($N8,$P$4,AF$5)</f>
        <v>0.155</v>
      </c>
      <c r="AG8" cm="1">
        <f t="array" aca="1" ref="AG8" ca="1">_xll.BDH($N8,$P$4,AG$5)</f>
        <v>0.1575</v>
      </c>
      <c r="AH8" cm="1">
        <f t="array" aca="1" ref="AH8" ca="1">_xll.BDH($N8,$P$4,AH$5)</f>
        <v>0.155</v>
      </c>
      <c r="AI8" cm="1">
        <f t="array" aca="1" ref="AI8" ca="1">IF(ISNUMBER(_xll.BDH($N8,$P$4,AI$5)),
   _xll.BDH($N8,$P$4,AI$5),
   LOOKUP(2, 1/(ISNUMBER(AF8:AH8)), AF8:AH8))</f>
        <v>0.14749999999999999</v>
      </c>
      <c r="AJ8" cm="1">
        <f t="array" aca="1" ref="AJ8" ca="1">IF(ISNUMBER(_xll.BDH($N8,$P$4,AJ$5)),
   _xll.BDH($N8,$P$4,AJ$5),
   LOOKUP(2, 1/(ISNUMBER(AG8:AI8)), AG8:AI8))</f>
        <v>0.14749999999999999</v>
      </c>
      <c r="AK8" cm="1">
        <f t="array" aca="1" ref="AK8" ca="1">IF(ISNUMBER(_xll.BDH($N8,$P$4,AK$5)),
   _xll.BDH($N8,$P$4,AK$5),
   LOOKUP(2, 1/(ISNUMBER(AH8:AJ8)), AH8:AJ8))</f>
        <v>0.1525</v>
      </c>
      <c r="AL8" cm="1">
        <f t="array" aca="1" ref="AL8" ca="1">IF(ISNUMBER(_xll.BDH($N8,$P$4,AL$5)),
   _xll.BDH($N8,$P$4,AL$5),
   LOOKUP(2, 1/(ISNUMBER(AI8:AK8)), AI8:AK8))</f>
        <v>0.1525</v>
      </c>
      <c r="AM8" cm="1">
        <f t="array" aca="1" ref="AM8" ca="1">IF(ISNUMBER(_xll.BDH($N8,$P$4,AM$5)),
   _xll.BDH($N8,$P$4,AM$5),
   LOOKUP(2, 1/(ISNUMBER(AJ8:AL8)), AJ8:AL8))</f>
        <v>0.155</v>
      </c>
      <c r="AN8" cm="1">
        <f t="array" aca="1" ref="AN8" ca="1">IF(ISNUMBER(_xll.BDH($N8,$P$4,AN$5)),
   _xll.BDH($N8,$P$4,AN$5),
   LOOKUP(2, 1/(ISNUMBER(AK8:AM8)), AK8:AM8))</f>
        <v>0.14749999999999999</v>
      </c>
      <c r="AO8" cm="1">
        <f t="array" aca="1" ref="AO8" ca="1">IF(ISNUMBER(_xll.BDH($N8,$P$4,AO$5)),
   _xll.BDH($N8,$P$4,AO$5),
   LOOKUP(2, 1/(ISNUMBER(AL8:AN8)), AL8:AN8))</f>
        <v>0.14499999999999999</v>
      </c>
      <c r="AP8" cm="1">
        <f t="array" aca="1" ref="AP8" ca="1">IF(ISNUMBER(_xll.BDH($N8,$P$4,AP$5)),
   _xll.BDH($N8,$P$4,AP$5),
   LOOKUP(2, 1/(ISNUMBER(AM8:AO8)), AM8:AO8))</f>
        <v>0.14749999999999999</v>
      </c>
      <c r="AQ8" cm="1">
        <f t="array" aca="1" ref="AQ8" ca="1">IF(ISNUMBER(_xll.BDH($N8,$P$4,AQ$5)),
   _xll.BDH($N8,$P$4,AQ$5),
   LOOKUP(2, 1/(ISNUMBER(AN8:AP8)), AN8:AP8))</f>
        <v>0.14749999999999999</v>
      </c>
      <c r="AR8" cm="1">
        <f t="array" aca="1" ref="AR8" ca="1">IF(ISNUMBER(_xll.BDH($N8,$P$4,AR$5)),
   _xll.BDH($N8,$P$4,AR$5),
   LOOKUP(2, 1/(ISNUMBER(AO8:AQ8)), AO8:AQ8))</f>
        <v>0.14749999999999999</v>
      </c>
      <c r="AS8" cm="1">
        <f t="array" aca="1" ref="AS8" ca="1">IF(ISNUMBER(_xll.BDH($N8,$P$4,AS$5)),
   _xll.BDH($N8,$P$4,AS$5),
   LOOKUP(2, 1/(ISNUMBER(AP8:AR8)), AP8:AR8))</f>
        <v>0.15</v>
      </c>
      <c r="AT8" cm="1">
        <f t="array" aca="1" ref="AT8" ca="1">IF(ISNUMBER(_xll.BDH($N8,$P$4,AT$5)),
   _xll.BDH($N8,$P$4,AT$5),
   LOOKUP(2, 1/(ISNUMBER(AQ8:AS8)), AQ8:AS8))</f>
        <v>0.14499999999999999</v>
      </c>
      <c r="AU8" cm="1">
        <f t="array" aca="1" ref="AU8" ca="1">IF(ISNUMBER(_xll.BDH($N8,$P$4,AU$5)),
   _xll.BDH($N8,$P$4,AU$5),
   LOOKUP(2, 1/(ISNUMBER(AR8:AT8)), AR8:AT8))</f>
        <v>0.14499999999999999</v>
      </c>
      <c r="AV8" cm="1">
        <f t="array" aca="1" ref="AV8" ca="1">IF(ISNUMBER(_xll.BDH($N8,$P$4,AV$5)),
   _xll.BDH($N8,$P$4,AV$5),
   LOOKUP(2, 1/(ISNUMBER(AS8:AU8)), AS8:AU8))</f>
        <v>0.14249999999999999</v>
      </c>
      <c r="AW8" cm="1">
        <f t="array" aca="1" ref="AW8" ca="1">IF(ISNUMBER(_xll.BDH($N8,$P$4,AW$5)),
   _xll.BDH($N8,$P$4,AW$5),
   LOOKUP(2, 1/(ISNUMBER(AT8:AV8)), AT8:AV8))</f>
        <v>0.14749999999999999</v>
      </c>
      <c r="AX8" cm="1">
        <f t="array" aca="1" ref="AX8" ca="1">IF(ISNUMBER(_xll.BDH($N8,$P$4,AX$5)),
   _xll.BDH($N8,$P$4,AX$5),
   LOOKUP(2, 1/(ISNUMBER(AU8:AW8)), AU8:AW8))</f>
        <v>0.14249999999999999</v>
      </c>
      <c r="AY8" cm="1">
        <f t="array" aca="1" ref="AY8" ca="1">IF(ISNUMBER(_xll.BDH($N8,$P$4,AY$5)),
   _xll.BDH($N8,$P$4,AY$5),
   LOOKUP(2, 1/(ISNUMBER(AV8:AX8)), AV8:AX8))</f>
        <v>0.14000000000000001</v>
      </c>
      <c r="AZ8" cm="1">
        <f t="array" aca="1" ref="AZ8" ca="1">IF(ISNUMBER(_xll.BDH($N8,$P$4,AZ$5)),
   _xll.BDH($N8,$P$4,AZ$5),
   LOOKUP(2, 1/(ISNUMBER(AW8:AY8)), AW8:AY8))</f>
        <v>0.14249999999999999</v>
      </c>
      <c r="BA8" cm="1">
        <f t="array" aca="1" ref="BA8" ca="1">IF(ISNUMBER(_xll.BDH($N8,$P$4,BA$5)),
   _xll.BDH($N8,$P$4,BA$5),
   LOOKUP(2, 1/(ISNUMBER(AX8:AZ8)), AX8:AZ8))</f>
        <v>0.14000000000000001</v>
      </c>
      <c r="BB8" cm="1">
        <f t="array" aca="1" ref="BB8" ca="1">IF(ISNUMBER(_xll.BDH($N8,$P$4,BB$5)),
   _xll.BDH($N8,$P$4,BB$5),
   LOOKUP(2, 1/(ISNUMBER(AY8:BA8)), AY8:BA8))</f>
        <v>0.14000000000000001</v>
      </c>
      <c r="BC8">
        <f t="shared" si="3"/>
        <v>0.14000000000000001</v>
      </c>
    </row>
    <row r="9" spans="2:55" x14ac:dyDescent="0.25">
      <c r="B9" t="s">
        <v>129</v>
      </c>
      <c r="C9" t="s">
        <v>130</v>
      </c>
      <c r="D9">
        <v>37286</v>
      </c>
      <c r="E9">
        <v>-0.02</v>
      </c>
      <c r="F9">
        <v>-1.4999999999999999E-2</v>
      </c>
      <c r="G9">
        <v>17510</v>
      </c>
      <c r="H9">
        <v>6358</v>
      </c>
      <c r="I9">
        <v>-1.4999999999999999E-2</v>
      </c>
      <c r="J9" t="s">
        <v>131</v>
      </c>
      <c r="K9" t="s">
        <v>23</v>
      </c>
      <c r="N9" t="str">
        <f t="shared" si="1"/>
        <v>ERU7ERZ7 comdty</v>
      </c>
      <c r="X9" s="2"/>
      <c r="Y9" s="2"/>
      <c r="Z9" s="2"/>
      <c r="AB9">
        <f t="shared" ca="1" si="4"/>
        <v>-4.2250000000000017E-2</v>
      </c>
      <c r="AC9">
        <f t="shared" ca="1" si="5"/>
        <v>1.7640507362318088E-2</v>
      </c>
      <c r="AD9">
        <f t="shared" ca="1" si="2"/>
        <v>1.5447401506267773</v>
      </c>
      <c r="AF9" cm="1">
        <f t="array" aca="1" ref="AF9" ca="1">_xll.BDH($N9,$P$4,AF$5)</f>
        <v>-0.04</v>
      </c>
      <c r="AG9" cm="1">
        <f t="array" aca="1" ref="AG9" ca="1">_xll.BDH($N9,$P$4,AG$5)</f>
        <v>-5.5E-2</v>
      </c>
      <c r="AH9" cm="1">
        <f t="array" aca="1" ref="AH9" ca="1">_xll.BDH($N9,$P$4,AH$5)</f>
        <v>-4.4999999999999998E-2</v>
      </c>
      <c r="AI9" cm="1">
        <f t="array" aca="1" ref="AI9" ca="1">IF(ISNUMBER(_xll.BDH($N9,$P$4,AI$5)),
   _xll.BDH($N9,$P$4,AI$5),
   LOOKUP(2, 1/(ISNUMBER(AF9:AH9)), AF9:AH9))</f>
        <v>-0.06</v>
      </c>
      <c r="AJ9" cm="1">
        <f t="array" aca="1" ref="AJ9" ca="1">IF(ISNUMBER(_xll.BDH($N9,$P$4,AJ$5)),
   _xll.BDH($N9,$P$4,AJ$5),
   LOOKUP(2, 1/(ISNUMBER(AG9:AI9)), AG9:AI9))</f>
        <v>-0.06</v>
      </c>
      <c r="AK9" cm="1">
        <f t="array" aca="1" ref="AK9" ca="1">IF(ISNUMBER(_xll.BDH($N9,$P$4,AK$5)),
   _xll.BDH($N9,$P$4,AK$5),
   LOOKUP(2, 1/(ISNUMBER(AH9:AJ9)), AH9:AJ9))</f>
        <v>-0.06</v>
      </c>
      <c r="AL9" cm="1">
        <f t="array" aca="1" ref="AL9" ca="1">IF(ISNUMBER(_xll.BDH($N9,$P$4,AL$5)),
   _xll.BDH($N9,$P$4,AL$5),
   LOOKUP(2, 1/(ISNUMBER(AI9:AK9)), AI9:AK9))</f>
        <v>-0.06</v>
      </c>
      <c r="AM9" cm="1">
        <f t="array" aca="1" ref="AM9" ca="1">IF(ISNUMBER(_xll.BDH($N9,$P$4,AM$5)),
   _xll.BDH($N9,$P$4,AM$5),
   LOOKUP(2, 1/(ISNUMBER(AJ9:AL9)), AJ9:AL9))</f>
        <v>-0.06</v>
      </c>
      <c r="AN9" cm="1">
        <f t="array" aca="1" ref="AN9" ca="1">IF(ISNUMBER(_xll.BDH($N9,$P$4,AN$5)),
   _xll.BDH($N9,$P$4,AN$5),
   LOOKUP(2, 1/(ISNUMBER(AK9:AM9)), AK9:AM9))</f>
        <v>-5.5E-2</v>
      </c>
      <c r="AO9" cm="1">
        <f t="array" aca="1" ref="AO9" ca="1">IF(ISNUMBER(_xll.BDH($N9,$P$4,AO$5)),
   _xll.BDH($N9,$P$4,AO$5),
   LOOKUP(2, 1/(ISNUMBER(AL9:AN9)), AL9:AN9))</f>
        <v>-0.05</v>
      </c>
      <c r="AP9" cm="1">
        <f t="array" aca="1" ref="AP9" ca="1">IF(ISNUMBER(_xll.BDH($N9,$P$4,AP$5)),
   _xll.BDH($N9,$P$4,AP$5),
   LOOKUP(2, 1/(ISNUMBER(AM9:AO9)), AM9:AO9))</f>
        <v>-5.5E-2</v>
      </c>
      <c r="AQ9" cm="1">
        <f t="array" aca="1" ref="AQ9" ca="1">IF(ISNUMBER(_xll.BDH($N9,$P$4,AQ$5)),
   _xll.BDH($N9,$P$4,AQ$5),
   LOOKUP(2, 1/(ISNUMBER(AN9:AP9)), AN9:AP9))</f>
        <v>-5.5E-2</v>
      </c>
      <c r="AR9" cm="1">
        <f t="array" aca="1" ref="AR9" ca="1">IF(ISNUMBER(_xll.BDH($N9,$P$4,AR$5)),
   _xll.BDH($N9,$P$4,AR$5),
   LOOKUP(2, 1/(ISNUMBER(AO9:AQ9)), AO9:AQ9))</f>
        <v>-5.5E-2</v>
      </c>
      <c r="AS9" cm="1">
        <f t="array" aca="1" ref="AS9" ca="1">IF(ISNUMBER(_xll.BDH($N9,$P$4,AS$5)),
   _xll.BDH($N9,$P$4,AS$5),
   LOOKUP(2, 1/(ISNUMBER(AP9:AR9)), AP9:AR9))</f>
        <v>-0.06</v>
      </c>
      <c r="AT9" cm="1">
        <f t="array" aca="1" ref="AT9" ca="1">IF(ISNUMBER(_xll.BDH($N9,$P$4,AT$5)),
   _xll.BDH($N9,$P$4,AT$5),
   LOOKUP(2, 1/(ISNUMBER(AQ9:AS9)), AQ9:AS9))</f>
        <v>-2.5000000000000001E-2</v>
      </c>
      <c r="AU9" cm="1">
        <f t="array" aca="1" ref="AU9" ca="1">IF(ISNUMBER(_xll.BDH($N9,$P$4,AU$5)),
   _xll.BDH($N9,$P$4,AU$5),
   LOOKUP(2, 1/(ISNUMBER(AR9:AT9)), AR9:AT9))</f>
        <v>-2.5000000000000001E-2</v>
      </c>
      <c r="AV9" cm="1">
        <f t="array" aca="1" ref="AV9" ca="1">IF(ISNUMBER(_xll.BDH($N9,$P$4,AV$5)),
   _xll.BDH($N9,$P$4,AV$5),
   LOOKUP(2, 1/(ISNUMBER(AS9:AU9)), AS9:AU9))</f>
        <v>-0.03</v>
      </c>
      <c r="AW9" cm="1">
        <f t="array" aca="1" ref="AW9" ca="1">IF(ISNUMBER(_xll.BDH($N9,$P$4,AW$5)),
   _xll.BDH($N9,$P$4,AW$5),
   LOOKUP(2, 1/(ISNUMBER(AT9:AV9)), AT9:AV9))</f>
        <v>-0.04</v>
      </c>
      <c r="AX9" cm="1">
        <f t="array" aca="1" ref="AX9" ca="1">IF(ISNUMBER(_xll.BDH($N9,$P$4,AX$5)),
   _xll.BDH($N9,$P$4,AX$5),
   LOOKUP(2, 1/(ISNUMBER(AU9:AW9)), AU9:AW9))</f>
        <v>-2.5000000000000001E-2</v>
      </c>
      <c r="AY9" cm="1">
        <f t="array" aca="1" ref="AY9" ca="1">IF(ISNUMBER(_xll.BDH($N9,$P$4,AY$5)),
   _xll.BDH($N9,$P$4,AY$5),
   LOOKUP(2, 1/(ISNUMBER(AV9:AX9)), AV9:AX9))</f>
        <v>-2.5000000000000001E-2</v>
      </c>
      <c r="AZ9" cm="1">
        <f t="array" aca="1" ref="AZ9" ca="1">IF(ISNUMBER(_xll.BDH($N9,$P$4,AZ$5)),
   _xll.BDH($N9,$P$4,AZ$5),
   LOOKUP(2, 1/(ISNUMBER(AW9:AY9)), AW9:AY9))</f>
        <v>-0.02</v>
      </c>
      <c r="BA9" cm="1">
        <f t="array" aca="1" ref="BA9" ca="1">IF(ISNUMBER(_xll.BDH($N9,$P$4,BA$5)),
   _xll.BDH($N9,$P$4,BA$5),
   LOOKUP(2, 1/(ISNUMBER(AX9:AZ9)), AX9:AZ9))</f>
        <v>-0.01</v>
      </c>
      <c r="BB9" cm="1">
        <f t="array" aca="1" ref="BB9" ca="1">IF(ISNUMBER(_xll.BDH($N9,$P$4,BB$5)),
   _xll.BDH($N9,$P$4,BB$5),
   LOOKUP(2, 1/(ISNUMBER(AY9:BA9)), AY9:BA9))</f>
        <v>-1.4999999999999999E-2</v>
      </c>
      <c r="BC9">
        <f t="shared" si="3"/>
        <v>-1.4999999999999999E-2</v>
      </c>
    </row>
    <row r="10" spans="2:55" x14ac:dyDescent="0.25">
      <c r="B10" t="s">
        <v>69</v>
      </c>
      <c r="C10" t="s">
        <v>70</v>
      </c>
      <c r="D10">
        <v>8031</v>
      </c>
      <c r="E10">
        <v>0.13</v>
      </c>
      <c r="F10">
        <v>0.13250000000000001</v>
      </c>
      <c r="G10">
        <v>4578</v>
      </c>
      <c r="H10">
        <v>5674</v>
      </c>
      <c r="I10">
        <v>0.13250000000000001</v>
      </c>
      <c r="J10" t="s">
        <v>132</v>
      </c>
      <c r="K10" t="s">
        <v>66</v>
      </c>
      <c r="N10" t="str">
        <f t="shared" si="1"/>
        <v>TKYERU6 comdty</v>
      </c>
      <c r="X10" s="2"/>
      <c r="Y10" s="2"/>
      <c r="Z10" s="2"/>
      <c r="AB10">
        <f t="shared" ca="1" si="4"/>
        <v>0.14024999999999999</v>
      </c>
      <c r="AC10">
        <f t="shared" ca="1" si="5"/>
        <v>5.8040933831219428E-3</v>
      </c>
      <c r="AD10">
        <f t="shared" ca="1" si="2"/>
        <v>-1.3352645259872369</v>
      </c>
      <c r="AF10" cm="1">
        <f t="array" aca="1" ref="AF10" ca="1">_xll.BDH($N10,$P$4,AF$5)</f>
        <v>0.15</v>
      </c>
      <c r="AG10" cm="1">
        <f t="array" aca="1" ref="AG10" ca="1">_xll.BDH($N10,$P$4,AG$5)</f>
        <v>0.15</v>
      </c>
      <c r="AH10" cm="1">
        <f t="array" aca="1" ref="AH10" ca="1">_xll.BDH($N10,$P$4,AH$5)</f>
        <v>0.15</v>
      </c>
      <c r="AI10" cm="1">
        <f t="array" aca="1" ref="AI10" ca="1">IF(ISNUMBER(_xll.BDH($N10,$P$4,AI$5)),
   _xll.BDH($N10,$P$4,AI$5),
   LOOKUP(2, 1/(ISNUMBER(AF10:AH10)), AF10:AH10))</f>
        <v>0.14749999999999999</v>
      </c>
      <c r="AJ10" cm="1">
        <f t="array" aca="1" ref="AJ10" ca="1">IF(ISNUMBER(_xll.BDH($N10,$P$4,AJ$5)),
   _xll.BDH($N10,$P$4,AJ$5),
   LOOKUP(2, 1/(ISNUMBER(AG10:AI10)), AG10:AI10))</f>
        <v>0.14499999999999999</v>
      </c>
      <c r="AK10" cm="1">
        <f t="array" aca="1" ref="AK10" ca="1">IF(ISNUMBER(_xll.BDH($N10,$P$4,AK$5)),
   _xll.BDH($N10,$P$4,AK$5),
   LOOKUP(2, 1/(ISNUMBER(AH10:AJ10)), AH10:AJ10))</f>
        <v>0.14499999999999999</v>
      </c>
      <c r="AL10" cm="1">
        <f t="array" aca="1" ref="AL10" ca="1">IF(ISNUMBER(_xll.BDH($N10,$P$4,AL$5)),
   _xll.BDH($N10,$P$4,AL$5),
   LOOKUP(2, 1/(ISNUMBER(AI10:AK10)), AI10:AK10))</f>
        <v>0.15</v>
      </c>
      <c r="AM10" cm="1">
        <f t="array" aca="1" ref="AM10" ca="1">IF(ISNUMBER(_xll.BDH($N10,$P$4,AM$5)),
   _xll.BDH($N10,$P$4,AM$5),
   LOOKUP(2, 1/(ISNUMBER(AJ10:AL10)), AJ10:AL10))</f>
        <v>0.14499999999999999</v>
      </c>
      <c r="AN10" cm="1">
        <f t="array" aca="1" ref="AN10" ca="1">IF(ISNUMBER(_xll.BDH($N10,$P$4,AN$5)),
   _xll.BDH($N10,$P$4,AN$5),
   LOOKUP(2, 1/(ISNUMBER(AK10:AM10)), AK10:AM10))</f>
        <v>0.14499999999999999</v>
      </c>
      <c r="AO10" cm="1">
        <f t="array" aca="1" ref="AO10" ca="1">IF(ISNUMBER(_xll.BDH($N10,$P$4,AO$5)),
   _xll.BDH($N10,$P$4,AO$5),
   LOOKUP(2, 1/(ISNUMBER(AL10:AN10)), AL10:AN10))</f>
        <v>0.14000000000000001</v>
      </c>
      <c r="AP10" cm="1">
        <f t="array" aca="1" ref="AP10" ca="1">IF(ISNUMBER(_xll.BDH($N10,$P$4,AP$5)),
   _xll.BDH($N10,$P$4,AP$5),
   LOOKUP(2, 1/(ISNUMBER(AM10:AO10)), AM10:AO10))</f>
        <v>0.14249999999999999</v>
      </c>
      <c r="AQ10" cm="1">
        <f t="array" aca="1" ref="AQ10" ca="1">IF(ISNUMBER(_xll.BDH($N10,$P$4,AQ$5)),
   _xll.BDH($N10,$P$4,AQ$5),
   LOOKUP(2, 1/(ISNUMBER(AN10:AP10)), AN10:AP10))</f>
        <v>0.14249999999999999</v>
      </c>
      <c r="AR10" cm="1">
        <f t="array" aca="1" ref="AR10" ca="1">IF(ISNUMBER(_xll.BDH($N10,$P$4,AR$5)),
   _xll.BDH($N10,$P$4,AR$5),
   LOOKUP(2, 1/(ISNUMBER(AO10:AQ10)), AO10:AQ10))</f>
        <v>0.14249999999999999</v>
      </c>
      <c r="AS10" cm="1">
        <f t="array" aca="1" ref="AS10" ca="1">IF(ISNUMBER(_xll.BDH($N10,$P$4,AS$5)),
   _xll.BDH($N10,$P$4,AS$5),
   LOOKUP(2, 1/(ISNUMBER(AP10:AR10)), AP10:AR10))</f>
        <v>0.15</v>
      </c>
      <c r="AT10" cm="1">
        <f t="array" aca="1" ref="AT10" ca="1">IF(ISNUMBER(_xll.BDH($N10,$P$4,AT$5)),
   _xll.BDH($N10,$P$4,AT$5),
   LOOKUP(2, 1/(ISNUMBER(AQ10:AS10)), AQ10:AS10))</f>
        <v>0.13750000000000001</v>
      </c>
      <c r="AU10" cm="1">
        <f t="array" aca="1" ref="AU10" ca="1">IF(ISNUMBER(_xll.BDH($N10,$P$4,AU$5)),
   _xll.BDH($N10,$P$4,AU$5),
   LOOKUP(2, 1/(ISNUMBER(AR10:AT10)), AR10:AT10))</f>
        <v>0.13250000000000001</v>
      </c>
      <c r="AV10" cm="1">
        <f t="array" aca="1" ref="AV10" ca="1">IF(ISNUMBER(_xll.BDH($N10,$P$4,AV$5)),
   _xll.BDH($N10,$P$4,AV$5),
   LOOKUP(2, 1/(ISNUMBER(AS10:AU10)), AS10:AU10))</f>
        <v>0.13500000000000001</v>
      </c>
      <c r="AW10" cm="1">
        <f t="array" aca="1" ref="AW10" ca="1">IF(ISNUMBER(_xll.BDH($N10,$P$4,AW$5)),
   _xll.BDH($N10,$P$4,AW$5),
   LOOKUP(2, 1/(ISNUMBER(AT10:AV10)), AT10:AV10))</f>
        <v>0.13500000000000001</v>
      </c>
      <c r="AX10" cm="1">
        <f t="array" aca="1" ref="AX10" ca="1">IF(ISNUMBER(_xll.BDH($N10,$P$4,AX$5)),
   _xll.BDH($N10,$P$4,AX$5),
   LOOKUP(2, 1/(ISNUMBER(AU10:AW10)), AU10:AW10))</f>
        <v>0.13500000000000001</v>
      </c>
      <c r="AY10" cm="1">
        <f t="array" aca="1" ref="AY10" ca="1">IF(ISNUMBER(_xll.BDH($N10,$P$4,AY$5)),
   _xll.BDH($N10,$P$4,AY$5),
   LOOKUP(2, 1/(ISNUMBER(AV10:AX10)), AV10:AX10))</f>
        <v>0.13250000000000001</v>
      </c>
      <c r="AZ10" cm="1">
        <f t="array" aca="1" ref="AZ10" ca="1">IF(ISNUMBER(_xll.BDH($N10,$P$4,AZ$5)),
   _xll.BDH($N10,$P$4,AZ$5),
   LOOKUP(2, 1/(ISNUMBER(AW10:AY10)), AW10:AY10))</f>
        <v>0.13500000000000001</v>
      </c>
      <c r="BA10" cm="1">
        <f t="array" aca="1" ref="BA10" ca="1">IF(ISNUMBER(_xll.BDH($N10,$P$4,BA$5)),
   _xll.BDH($N10,$P$4,BA$5),
   LOOKUP(2, 1/(ISNUMBER(AX10:AZ10)), AX10:AZ10))</f>
        <v>0.13250000000000001</v>
      </c>
      <c r="BB10" cm="1">
        <f t="array" aca="1" ref="BB10" ca="1">IF(ISNUMBER(_xll.BDH($N10,$P$4,BB$5)),
   _xll.BDH($N10,$P$4,BB$5),
   LOOKUP(2, 1/(ISNUMBER(AY10:BA10)), AY10:BA10))</f>
        <v>0.13500000000000001</v>
      </c>
      <c r="BC10">
        <f t="shared" si="3"/>
        <v>0.13250000000000001</v>
      </c>
    </row>
    <row r="11" spans="2:55" x14ac:dyDescent="0.25">
      <c r="B11" t="s">
        <v>133</v>
      </c>
      <c r="C11" t="s">
        <v>134</v>
      </c>
      <c r="D11">
        <v>1471</v>
      </c>
      <c r="E11">
        <v>0.14000000000000001</v>
      </c>
      <c r="F11">
        <v>0.14249999999999999</v>
      </c>
      <c r="G11">
        <v>4169</v>
      </c>
      <c r="H11">
        <v>5024</v>
      </c>
      <c r="I11">
        <v>0.14000000000000001</v>
      </c>
      <c r="J11" t="s">
        <v>135</v>
      </c>
      <c r="K11" t="s">
        <v>66</v>
      </c>
      <c r="N11" t="str">
        <f t="shared" si="1"/>
        <v>TKYERU7 comdty</v>
      </c>
      <c r="X11" s="2"/>
      <c r="Y11" s="2"/>
      <c r="Z11" s="2"/>
      <c r="AB11">
        <f t="shared" ca="1" si="4"/>
        <v>0.14650000000000002</v>
      </c>
      <c r="AC11">
        <f t="shared" ca="1" si="5"/>
        <v>3.391164991562637E-3</v>
      </c>
      <c r="AD11">
        <f t="shared" ca="1" si="2"/>
        <v>-1.9167454300136628</v>
      </c>
      <c r="AF11" cm="1">
        <f t="array" aca="1" ref="AF11" ca="1">_xll.BDH($N11,$P$4,AF$5)</f>
        <v>0.1575</v>
      </c>
      <c r="AG11" cm="1">
        <f t="array" aca="1" ref="AG11" ca="1">_xll.BDH($N11,$P$4,AG$5)</f>
        <v>0.16</v>
      </c>
      <c r="AH11" cm="1">
        <f t="array" aca="1" ref="AH11" ca="1">_xll.BDH($N11,$P$4,AH$5)</f>
        <v>0.155</v>
      </c>
      <c r="AI11" cm="1">
        <f t="array" aca="1" ref="AI11" ca="1">IF(ISNUMBER(_xll.BDH($N11,$P$4,AI$5)),
   _xll.BDH($N11,$P$4,AI$5),
   LOOKUP(2, 1/(ISNUMBER(AF11:AH11)), AF11:AH11))</f>
        <v>0.14749999999999999</v>
      </c>
      <c r="AJ11" cm="1">
        <f t="array" aca="1" ref="AJ11" ca="1">IF(ISNUMBER(_xll.BDH($N11,$P$4,AJ$5)),
   _xll.BDH($N11,$P$4,AJ$5),
   LOOKUP(2, 1/(ISNUMBER(AG11:AI11)), AG11:AI11))</f>
        <v>0.14499999999999999</v>
      </c>
      <c r="AK11" cm="1">
        <f t="array" aca="1" ref="AK11" ca="1">IF(ISNUMBER(_xll.BDH($N11,$P$4,AK$5)),
   _xll.BDH($N11,$P$4,AK$5),
   LOOKUP(2, 1/(ISNUMBER(AH11:AJ11)), AH11:AJ11))</f>
        <v>0.15</v>
      </c>
      <c r="AL11" cm="1">
        <f t="array" aca="1" ref="AL11" ca="1">IF(ISNUMBER(_xll.BDH($N11,$P$4,AL$5)),
   _xll.BDH($N11,$P$4,AL$5),
   LOOKUP(2, 1/(ISNUMBER(AI11:AK11)), AI11:AK11))</f>
        <v>0.1525</v>
      </c>
      <c r="AM11" cm="1">
        <f t="array" aca="1" ref="AM11" ca="1">IF(ISNUMBER(_xll.BDH($N11,$P$4,AM$5)),
   _xll.BDH($N11,$P$4,AM$5),
   LOOKUP(2, 1/(ISNUMBER(AJ11:AL11)), AJ11:AL11))</f>
        <v>0.155</v>
      </c>
      <c r="AN11" cm="1">
        <f t="array" aca="1" ref="AN11" ca="1">IF(ISNUMBER(_xll.BDH($N11,$P$4,AN$5)),
   _xll.BDH($N11,$P$4,AN$5),
   LOOKUP(2, 1/(ISNUMBER(AK11:AM11)), AK11:AM11))</f>
        <v>0.14749999999999999</v>
      </c>
      <c r="AO11" cm="1">
        <f t="array" aca="1" ref="AO11" ca="1">IF(ISNUMBER(_xll.BDH($N11,$P$4,AO$5)),
   _xll.BDH($N11,$P$4,AO$5),
   LOOKUP(2, 1/(ISNUMBER(AL11:AN11)), AL11:AN11))</f>
        <v>0.14749999999999999</v>
      </c>
      <c r="AP11" cm="1">
        <f t="array" aca="1" ref="AP11" ca="1">IF(ISNUMBER(_xll.BDH($N11,$P$4,AP$5)),
   _xll.BDH($N11,$P$4,AP$5),
   LOOKUP(2, 1/(ISNUMBER(AM11:AO11)), AM11:AO11))</f>
        <v>0.14749999999999999</v>
      </c>
      <c r="AQ11" cm="1">
        <f t="array" aca="1" ref="AQ11" ca="1">IF(ISNUMBER(_xll.BDH($N11,$P$4,AQ$5)),
   _xll.BDH($N11,$P$4,AQ$5),
   LOOKUP(2, 1/(ISNUMBER(AN11:AP11)), AN11:AP11))</f>
        <v>0.14749999999999999</v>
      </c>
      <c r="AR11" cm="1">
        <f t="array" aca="1" ref="AR11" ca="1">IF(ISNUMBER(_xll.BDH($N11,$P$4,AR$5)),
   _xll.BDH($N11,$P$4,AR$5),
   LOOKUP(2, 1/(ISNUMBER(AO11:AQ11)), AO11:AQ11))</f>
        <v>0.14749999999999999</v>
      </c>
      <c r="AS11" cm="1">
        <f t="array" aca="1" ref="AS11" ca="1">IF(ISNUMBER(_xll.BDH($N11,$P$4,AS$5)),
   _xll.BDH($N11,$P$4,AS$5),
   LOOKUP(2, 1/(ISNUMBER(AP11:AR11)), AP11:AR11))</f>
        <v>0.14749999999999999</v>
      </c>
      <c r="AT11" cm="1">
        <f t="array" aca="1" ref="AT11" ca="1">IF(ISNUMBER(_xll.BDH($N11,$P$4,AT$5)),
   _xll.BDH($N11,$P$4,AT$5),
   LOOKUP(2, 1/(ISNUMBER(AQ11:AS11)), AQ11:AS11))</f>
        <v>0.14749999999999999</v>
      </c>
      <c r="AU11" cm="1">
        <f t="array" aca="1" ref="AU11" ca="1">IF(ISNUMBER(_xll.BDH($N11,$P$4,AU$5)),
   _xll.BDH($N11,$P$4,AU$5),
   LOOKUP(2, 1/(ISNUMBER(AR11:AT11)), AR11:AT11))</f>
        <v>0.14249999999999999</v>
      </c>
      <c r="AV11" cm="1">
        <f t="array" aca="1" ref="AV11" ca="1">IF(ISNUMBER(_xll.BDH($N11,$P$4,AV$5)),
   _xll.BDH($N11,$P$4,AV$5),
   LOOKUP(2, 1/(ISNUMBER(AS11:AU11)), AS11:AU11))</f>
        <v>0.14499999999999999</v>
      </c>
      <c r="AW11" cm="1">
        <f t="array" aca="1" ref="AW11" ca="1">IF(ISNUMBER(_xll.BDH($N11,$P$4,AW$5)),
   _xll.BDH($N11,$P$4,AW$5),
   LOOKUP(2, 1/(ISNUMBER(AT11:AV11)), AT11:AV11))</f>
        <v>0.14749999999999999</v>
      </c>
      <c r="AX11" cm="1">
        <f t="array" aca="1" ref="AX11" ca="1">IF(ISNUMBER(_xll.BDH($N11,$P$4,AX$5)),
   _xll.BDH($N11,$P$4,AX$5),
   LOOKUP(2, 1/(ISNUMBER(AU11:AW11)), AU11:AW11))</f>
        <v>0.14249999999999999</v>
      </c>
      <c r="AY11" cm="1">
        <f t="array" aca="1" ref="AY11" ca="1">IF(ISNUMBER(_xll.BDH($N11,$P$4,AY$5)),
   _xll.BDH($N11,$P$4,AY$5),
   LOOKUP(2, 1/(ISNUMBER(AV11:AX11)), AV11:AX11))</f>
        <v>0.14249999999999999</v>
      </c>
      <c r="AZ11" cm="1">
        <f t="array" aca="1" ref="AZ11" ca="1">IF(ISNUMBER(_xll.BDH($N11,$P$4,AZ$5)),
   _xll.BDH($N11,$P$4,AZ$5),
   LOOKUP(2, 1/(ISNUMBER(AW11:AY11)), AW11:AY11))</f>
        <v>0.14249999999999999</v>
      </c>
      <c r="BA11" cm="1">
        <f t="array" aca="1" ref="BA11" ca="1">IF(ISNUMBER(_xll.BDH($N11,$P$4,BA$5)),
   _xll.BDH($N11,$P$4,BA$5),
   LOOKUP(2, 1/(ISNUMBER(AX11:AZ11)), AX11:AZ11))</f>
        <v>0.14249999999999999</v>
      </c>
      <c r="BB11" cm="1">
        <f t="array" aca="1" ref="BB11" ca="1">IF(ISNUMBER(_xll.BDH($N11,$P$4,BB$5)),
   _xll.BDH($N11,$P$4,BB$5),
   LOOKUP(2, 1/(ISNUMBER(AY11:BA11)), AY11:BA11))</f>
        <v>0.14249999999999999</v>
      </c>
      <c r="BC11">
        <f t="shared" si="3"/>
        <v>0.14000000000000001</v>
      </c>
    </row>
    <row r="12" spans="2:55" x14ac:dyDescent="0.25">
      <c r="B12" t="s">
        <v>67</v>
      </c>
      <c r="C12" t="s">
        <v>68</v>
      </c>
      <c r="D12">
        <v>36</v>
      </c>
      <c r="E12">
        <v>0.185</v>
      </c>
      <c r="F12">
        <v>0.19</v>
      </c>
      <c r="G12">
        <v>1624</v>
      </c>
      <c r="H12">
        <v>4303</v>
      </c>
      <c r="I12">
        <v>0.185</v>
      </c>
      <c r="J12" t="s">
        <v>136</v>
      </c>
      <c r="K12" t="s">
        <v>23</v>
      </c>
      <c r="N12" t="str">
        <f t="shared" si="1"/>
        <v>ERM6ERU6 comdty</v>
      </c>
      <c r="X12" s="2"/>
      <c r="Y12" s="2"/>
      <c r="Z12" s="2"/>
      <c r="AB12">
        <f t="shared" ca="1" si="4"/>
        <v>0.22325</v>
      </c>
      <c r="AC12">
        <f t="shared" ca="1" si="5"/>
        <v>2.8864987441535327E-2</v>
      </c>
      <c r="AD12">
        <f t="shared" ca="1" si="2"/>
        <v>-1.3251348221603623</v>
      </c>
      <c r="AF12" cm="1">
        <f t="array" aca="1" ref="AF12" ca="1">_xll.BDH($N12,$P$4,AF$5)</f>
        <v>0.20499999999999999</v>
      </c>
      <c r="AG12" cm="1">
        <f t="array" aca="1" ref="AG12" ca="1">_xll.BDH($N12,$P$4,AG$5)</f>
        <v>0.2</v>
      </c>
      <c r="AH12" cm="1">
        <f t="array" aca="1" ref="AH12" ca="1">_xll.BDH($N12,$P$4,AH$5)</f>
        <v>0.17</v>
      </c>
      <c r="AI12" cm="1">
        <f t="array" aca="1" ref="AI12" ca="1">IF(ISNUMBER(_xll.BDH($N12,$P$4,AI$5)),
   _xll.BDH($N12,$P$4,AI$5),
   LOOKUP(2, 1/(ISNUMBER(AF12:AH12)), AF12:AH12))</f>
        <v>0.21</v>
      </c>
      <c r="AJ12" cm="1">
        <f t="array" aca="1" ref="AJ12" ca="1">IF(ISNUMBER(_xll.BDH($N12,$P$4,AJ$5)),
   _xll.BDH($N12,$P$4,AJ$5),
   LOOKUP(2, 1/(ISNUMBER(AG12:AI12)), AG12:AI12))</f>
        <v>0.19500000000000001</v>
      </c>
      <c r="AK12" cm="1">
        <f t="array" aca="1" ref="AK12" ca="1">IF(ISNUMBER(_xll.BDH($N12,$P$4,AK$5)),
   _xll.BDH($N12,$P$4,AK$5),
   LOOKUP(2, 1/(ISNUMBER(AH12:AJ12)), AH12:AJ12))</f>
        <v>0.23499999999999999</v>
      </c>
      <c r="AL12" cm="1">
        <f t="array" aca="1" ref="AL12" ca="1">IF(ISNUMBER(_xll.BDH($N12,$P$4,AL$5)),
   _xll.BDH($N12,$P$4,AL$5),
   LOOKUP(2, 1/(ISNUMBER(AI12:AK12)), AI12:AK12))</f>
        <v>0.255</v>
      </c>
      <c r="AM12" cm="1">
        <f t="array" aca="1" ref="AM12" ca="1">IF(ISNUMBER(_xll.BDH($N12,$P$4,AM$5)),
   _xll.BDH($N12,$P$4,AM$5),
   LOOKUP(2, 1/(ISNUMBER(AJ12:AL12)), AJ12:AL12))</f>
        <v>0.245</v>
      </c>
      <c r="AN12" cm="1">
        <f t="array" aca="1" ref="AN12" ca="1">IF(ISNUMBER(_xll.BDH($N12,$P$4,AN$5)),
   _xll.BDH($N12,$P$4,AN$5),
   LOOKUP(2, 1/(ISNUMBER(AK12:AM12)), AK12:AM12))</f>
        <v>0.245</v>
      </c>
      <c r="AO12" cm="1">
        <f t="array" aca="1" ref="AO12" ca="1">IF(ISNUMBER(_xll.BDH($N12,$P$4,AO$5)),
   _xll.BDH($N12,$P$4,AO$5),
   LOOKUP(2, 1/(ISNUMBER(AL12:AN12)), AL12:AN12))</f>
        <v>0.215</v>
      </c>
      <c r="AP12" cm="1">
        <f t="array" aca="1" ref="AP12" ca="1">IF(ISNUMBER(_xll.BDH($N12,$P$4,AP$5)),
   _xll.BDH($N12,$P$4,AP$5),
   LOOKUP(2, 1/(ISNUMBER(AM12:AO12)), AM12:AO12))</f>
        <v>0.23499999999999999</v>
      </c>
      <c r="AQ12" cm="1">
        <f t="array" aca="1" ref="AQ12" ca="1">IF(ISNUMBER(_xll.BDH($N12,$P$4,AQ$5)),
   _xll.BDH($N12,$P$4,AQ$5),
   LOOKUP(2, 1/(ISNUMBER(AN12:AP12)), AN12:AP12))</f>
        <v>0.23499999999999999</v>
      </c>
      <c r="AR12" cm="1">
        <f t="array" aca="1" ref="AR12" ca="1">IF(ISNUMBER(_xll.BDH($N12,$P$4,AR$5)),
   _xll.BDH($N12,$P$4,AR$5),
   LOOKUP(2, 1/(ISNUMBER(AO12:AQ12)), AO12:AQ12))</f>
        <v>0.23499999999999999</v>
      </c>
      <c r="AS12" cm="1">
        <f t="array" aca="1" ref="AS12" ca="1">IF(ISNUMBER(_xll.BDH($N12,$P$4,AS$5)),
   _xll.BDH($N12,$P$4,AS$5),
   LOOKUP(2, 1/(ISNUMBER(AP12:AR12)), AP12:AR12))</f>
        <v>0.28999999999999998</v>
      </c>
      <c r="AT12" cm="1">
        <f t="array" aca="1" ref="AT12" ca="1">IF(ISNUMBER(_xll.BDH($N12,$P$4,AT$5)),
   _xll.BDH($N12,$P$4,AT$5),
   LOOKUP(2, 1/(ISNUMBER(AQ12:AS12)), AQ12:AS12))</f>
        <v>0.19</v>
      </c>
      <c r="AU12" cm="1">
        <f t="array" aca="1" ref="AU12" ca="1">IF(ISNUMBER(_xll.BDH($N12,$P$4,AU$5)),
   _xll.BDH($N12,$P$4,AU$5),
   LOOKUP(2, 1/(ISNUMBER(AR12:AT12)), AR12:AT12))</f>
        <v>0.22</v>
      </c>
      <c r="AV12" cm="1">
        <f t="array" aca="1" ref="AV12" ca="1">IF(ISNUMBER(_xll.BDH($N12,$P$4,AV$5)),
   _xll.BDH($N12,$P$4,AV$5),
   LOOKUP(2, 1/(ISNUMBER(AS12:AU12)), AS12:AU12))</f>
        <v>0.22500000000000001</v>
      </c>
      <c r="AW12" cm="1">
        <f t="array" aca="1" ref="AW12" ca="1">IF(ISNUMBER(_xll.BDH($N12,$P$4,AW$5)),
   _xll.BDH($N12,$P$4,AW$5),
   LOOKUP(2, 1/(ISNUMBER(AT12:AV12)), AT12:AV12))</f>
        <v>0.26</v>
      </c>
      <c r="AX12" cm="1">
        <f t="array" aca="1" ref="AX12" ca="1">IF(ISNUMBER(_xll.BDH($N12,$P$4,AX$5)),
   _xll.BDH($N12,$P$4,AX$5),
   LOOKUP(2, 1/(ISNUMBER(AU12:AW12)), AU12:AW12))</f>
        <v>0.215</v>
      </c>
      <c r="AY12" cm="1">
        <f t="array" aca="1" ref="AY12" ca="1">IF(ISNUMBER(_xll.BDH($N12,$P$4,AY$5)),
   _xll.BDH($N12,$P$4,AY$5),
   LOOKUP(2, 1/(ISNUMBER(AV12:AX12)), AV12:AX12))</f>
        <v>0.215</v>
      </c>
      <c r="AZ12" cm="1">
        <f t="array" aca="1" ref="AZ12" ca="1">IF(ISNUMBER(_xll.BDH($N12,$P$4,AZ$5)),
   _xll.BDH($N12,$P$4,AZ$5),
   LOOKUP(2, 1/(ISNUMBER(AW12:AY12)), AW12:AY12))</f>
        <v>0.20499999999999999</v>
      </c>
      <c r="BA12" cm="1">
        <f t="array" aca="1" ref="BA12" ca="1">IF(ISNUMBER(_xll.BDH($N12,$P$4,BA$5)),
   _xll.BDH($N12,$P$4,BA$5),
   LOOKUP(2, 1/(ISNUMBER(AX12:AZ12)), AX12:AZ12))</f>
        <v>0.16500000000000001</v>
      </c>
      <c r="BB12" cm="1">
        <f t="array" aca="1" ref="BB12" ca="1">IF(ISNUMBER(_xll.BDH($N12,$P$4,BB$5)),
   _xll.BDH($N12,$P$4,BB$5),
   LOOKUP(2, 1/(ISNUMBER(AY12:BA12)), AY12:BA12))</f>
        <v>0.17499999999999999</v>
      </c>
      <c r="BC12">
        <f t="shared" si="3"/>
        <v>0.185</v>
      </c>
    </row>
    <row r="13" spans="2:55" x14ac:dyDescent="0.25">
      <c r="B13" t="s">
        <v>137</v>
      </c>
      <c r="C13" t="s">
        <v>138</v>
      </c>
      <c r="D13">
        <v>1079</v>
      </c>
      <c r="E13">
        <v>0.13500000000000001</v>
      </c>
      <c r="F13">
        <v>0.13750000000000001</v>
      </c>
      <c r="G13">
        <v>1744</v>
      </c>
      <c r="H13">
        <v>3123</v>
      </c>
      <c r="I13">
        <v>0.13500000000000001</v>
      </c>
      <c r="J13" t="s">
        <v>139</v>
      </c>
      <c r="K13" t="s">
        <v>66</v>
      </c>
      <c r="N13" t="str">
        <f t="shared" si="1"/>
        <v>TKYERM8 comdty</v>
      </c>
      <c r="X13" s="2"/>
      <c r="Y13" s="2"/>
      <c r="Z13" s="2"/>
      <c r="AB13">
        <f t="shared" ca="1" si="4"/>
        <v>0.14225000000000004</v>
      </c>
      <c r="AC13">
        <f t="shared" ca="1" si="5"/>
        <v>3.9449334595148666E-3</v>
      </c>
      <c r="AD13">
        <f t="shared" ca="1" si="2"/>
        <v>-1.8378003265209986</v>
      </c>
      <c r="AF13" cm="1">
        <f t="array" aca="1" ref="AF13" ca="1">_xll.BDH($N13,$P$4,AF$5)</f>
        <v>0.1525</v>
      </c>
      <c r="AG13" cm="1">
        <f t="array" aca="1" ref="AG13" ca="1">_xll.BDH($N13,$P$4,AG$5)</f>
        <v>0.14749999999999999</v>
      </c>
      <c r="AH13" cm="1">
        <f t="array" aca="1" ref="AH13" ca="1">_xll.BDH($N13,$P$4,AH$5)</f>
        <v>0.14499999999999999</v>
      </c>
      <c r="AI13" cm="1">
        <f t="array" aca="1" ref="AI13" ca="1">IF(ISNUMBER(_xll.BDH($N13,$P$4,AI$5)),
   _xll.BDH($N13,$P$4,AI$5),
   LOOKUP(2, 1/(ISNUMBER(AF13:AH13)), AF13:AH13))</f>
        <v>0.14249999999999999</v>
      </c>
      <c r="AJ13" cm="1">
        <f t="array" aca="1" ref="AJ13" ca="1">IF(ISNUMBER(_xll.BDH($N13,$P$4,AJ$5)),
   _xll.BDH($N13,$P$4,AJ$5),
   LOOKUP(2, 1/(ISNUMBER(AG13:AI13)), AG13:AI13))</f>
        <v>0.13750000000000001</v>
      </c>
      <c r="AK13" cm="1">
        <f t="array" aca="1" ref="AK13" ca="1">IF(ISNUMBER(_xll.BDH($N13,$P$4,AK$5)),
   _xll.BDH($N13,$P$4,AK$5),
   LOOKUP(2, 1/(ISNUMBER(AH13:AJ13)), AH13:AJ13))</f>
        <v>0.14499999999999999</v>
      </c>
      <c r="AL13" cm="1">
        <f t="array" aca="1" ref="AL13" ca="1">IF(ISNUMBER(_xll.BDH($N13,$P$4,AL$5)),
   _xll.BDH($N13,$P$4,AL$5),
   LOOKUP(2, 1/(ISNUMBER(AI13:AK13)), AI13:AK13))</f>
        <v>0.14749999999999999</v>
      </c>
      <c r="AM13" cm="1">
        <f t="array" aca="1" ref="AM13" ca="1">IF(ISNUMBER(_xll.BDH($N13,$P$4,AM$5)),
   _xll.BDH($N13,$P$4,AM$5),
   LOOKUP(2, 1/(ISNUMBER(AJ13:AL13)), AJ13:AL13))</f>
        <v>0.14749999999999999</v>
      </c>
      <c r="AN13" cm="1">
        <f t="array" aca="1" ref="AN13" ca="1">IF(ISNUMBER(_xll.BDH($N13,$P$4,AN$5)),
   _xll.BDH($N13,$P$4,AN$5),
   LOOKUP(2, 1/(ISNUMBER(AK13:AM13)), AK13:AM13))</f>
        <v>0.14749999999999999</v>
      </c>
      <c r="AO13" cm="1">
        <f t="array" aca="1" ref="AO13" ca="1">IF(ISNUMBER(_xll.BDH($N13,$P$4,AO$5)),
   _xll.BDH($N13,$P$4,AO$5),
   LOOKUP(2, 1/(ISNUMBER(AL13:AN13)), AL13:AN13))</f>
        <v>0.14249999999999999</v>
      </c>
      <c r="AP13" cm="1">
        <f t="array" aca="1" ref="AP13" ca="1">IF(ISNUMBER(_xll.BDH($N13,$P$4,AP$5)),
   _xll.BDH($N13,$P$4,AP$5),
   LOOKUP(2, 1/(ISNUMBER(AM13:AO13)), AM13:AO13))</f>
        <v>0.14499999999999999</v>
      </c>
      <c r="AQ13" cm="1">
        <f t="array" aca="1" ref="AQ13" ca="1">IF(ISNUMBER(_xll.BDH($N13,$P$4,AQ$5)),
   _xll.BDH($N13,$P$4,AQ$5),
   LOOKUP(2, 1/(ISNUMBER(AN13:AP13)), AN13:AP13))</f>
        <v>0.14499999999999999</v>
      </c>
      <c r="AR13" cm="1">
        <f t="array" aca="1" ref="AR13" ca="1">IF(ISNUMBER(_xll.BDH($N13,$P$4,AR$5)),
   _xll.BDH($N13,$P$4,AR$5),
   LOOKUP(2, 1/(ISNUMBER(AO13:AQ13)), AO13:AQ13))</f>
        <v>0.14499999999999999</v>
      </c>
      <c r="AS13" cm="1">
        <f t="array" aca="1" ref="AS13" ca="1">IF(ISNUMBER(_xll.BDH($N13,$P$4,AS$5)),
   _xll.BDH($N13,$P$4,AS$5),
   LOOKUP(2, 1/(ISNUMBER(AP13:AR13)), AP13:AR13))</f>
        <v>0.14499999999999999</v>
      </c>
      <c r="AT13" cm="1">
        <f t="array" aca="1" ref="AT13" ca="1">IF(ISNUMBER(_xll.BDH($N13,$P$4,AT$5)),
   _xll.BDH($N13,$P$4,AT$5),
   LOOKUP(2, 1/(ISNUMBER(AQ13:AS13)), AQ13:AS13))</f>
        <v>0.14499999999999999</v>
      </c>
      <c r="AU13" cm="1">
        <f t="array" aca="1" ref="AU13" ca="1">IF(ISNUMBER(_xll.BDH($N13,$P$4,AU$5)),
   _xll.BDH($N13,$P$4,AU$5),
   LOOKUP(2, 1/(ISNUMBER(AR13:AT13)), AR13:AT13))</f>
        <v>0.14249999999999999</v>
      </c>
      <c r="AV13" cm="1">
        <f t="array" aca="1" ref="AV13" ca="1">IF(ISNUMBER(_xll.BDH($N13,$P$4,AV$5)),
   _xll.BDH($N13,$P$4,AV$5),
   LOOKUP(2, 1/(ISNUMBER(AS13:AU13)), AS13:AU13))</f>
        <v>0.14249999999999999</v>
      </c>
      <c r="AW13" cm="1">
        <f t="array" aca="1" ref="AW13" ca="1">IF(ISNUMBER(_xll.BDH($N13,$P$4,AW$5)),
   _xll.BDH($N13,$P$4,AW$5),
   LOOKUP(2, 1/(ISNUMBER(AT13:AV13)), AT13:AV13))</f>
        <v>0.14000000000000001</v>
      </c>
      <c r="AX13" cm="1">
        <f t="array" aca="1" ref="AX13" ca="1">IF(ISNUMBER(_xll.BDH($N13,$P$4,AX$5)),
   _xll.BDH($N13,$P$4,AX$5),
   LOOKUP(2, 1/(ISNUMBER(AU13:AW13)), AU13:AW13))</f>
        <v>0.14000000000000001</v>
      </c>
      <c r="AY13" cm="1">
        <f t="array" aca="1" ref="AY13" ca="1">IF(ISNUMBER(_xll.BDH($N13,$P$4,AY$5)),
   _xll.BDH($N13,$P$4,AY$5),
   LOOKUP(2, 1/(ISNUMBER(AV13:AX13)), AV13:AX13))</f>
        <v>0.13750000000000001</v>
      </c>
      <c r="AZ13" cm="1">
        <f t="array" aca="1" ref="AZ13" ca="1">IF(ISNUMBER(_xll.BDH($N13,$P$4,AZ$5)),
   _xll.BDH($N13,$P$4,AZ$5),
   LOOKUP(2, 1/(ISNUMBER(AW13:AY13)), AW13:AY13))</f>
        <v>0.13750000000000001</v>
      </c>
      <c r="BA13" cm="1">
        <f t="array" aca="1" ref="BA13" ca="1">IF(ISNUMBER(_xll.BDH($N13,$P$4,BA$5)),
   _xll.BDH($N13,$P$4,BA$5),
   LOOKUP(2, 1/(ISNUMBER(AX13:AZ13)), AX13:AZ13))</f>
        <v>0.13500000000000001</v>
      </c>
      <c r="BB13" cm="1">
        <f t="array" aca="1" ref="BB13" ca="1">IF(ISNUMBER(_xll.BDH($N13,$P$4,BB$5)),
   _xll.BDH($N13,$P$4,BB$5),
   LOOKUP(2, 1/(ISNUMBER(AY13:BA13)), AY13:BA13))</f>
        <v>0.13500000000000001</v>
      </c>
      <c r="BC13">
        <f t="shared" si="3"/>
        <v>0.13500000000000001</v>
      </c>
    </row>
    <row r="14" spans="2:55" x14ac:dyDescent="0.25">
      <c r="B14" t="s">
        <v>71</v>
      </c>
      <c r="C14" t="s">
        <v>72</v>
      </c>
      <c r="D14">
        <v>20737</v>
      </c>
      <c r="E14">
        <v>3.5000000000000003E-2</v>
      </c>
      <c r="F14">
        <v>0.04</v>
      </c>
      <c r="G14">
        <v>16536</v>
      </c>
      <c r="H14">
        <v>2769</v>
      </c>
      <c r="I14">
        <v>0.04</v>
      </c>
      <c r="J14" t="s">
        <v>140</v>
      </c>
      <c r="K14" t="s">
        <v>23</v>
      </c>
      <c r="N14" t="str">
        <f t="shared" si="1"/>
        <v>ERZ7ERM8 comdty</v>
      </c>
      <c r="X14" s="2"/>
      <c r="Y14" s="2"/>
      <c r="Z14" s="2"/>
      <c r="AB14">
        <f t="shared" ca="1" si="4"/>
        <v>1.2E-2</v>
      </c>
      <c r="AC14">
        <f t="shared" ca="1" si="5"/>
        <v>2.0760539492026695E-2</v>
      </c>
      <c r="AD14">
        <f t="shared" ca="1" si="2"/>
        <v>1.3487125424054465</v>
      </c>
      <c r="AF14" cm="1">
        <f t="array" aca="1" ref="AF14" ca="1">_xll.BDH($N14,$P$4,AF$5)</f>
        <v>-1.4999999999999999E-2</v>
      </c>
      <c r="AG14" cm="1">
        <f t="array" aca="1" ref="AG14" ca="1">_xll.BDH($N14,$P$4,AG$5)</f>
        <v>-5.0000000000000001E-3</v>
      </c>
      <c r="AH14" cm="1">
        <f t="array" aca="1" ref="AH14" ca="1">_xll.BDH($N14,$P$4,AH$5)</f>
        <v>0.03</v>
      </c>
      <c r="AI14" cm="1">
        <f t="array" aca="1" ref="AI14" ca="1">IF(ISNUMBER(_xll.BDH($N14,$P$4,AI$5)),
   _xll.BDH($N14,$P$4,AI$5),
   LOOKUP(2, 1/(ISNUMBER(AF14:AH14)), AF14:AH14))</f>
        <v>5.0000000000000001E-3</v>
      </c>
      <c r="AJ14" cm="1">
        <f t="array" aca="1" ref="AJ14" ca="1">IF(ISNUMBER(_xll.BDH($N14,$P$4,AJ$5)),
   _xll.BDH($N14,$P$4,AJ$5),
   LOOKUP(2, 1/(ISNUMBER(AG14:AI14)), AG14:AI14))</f>
        <v>0</v>
      </c>
      <c r="AK14" cm="1">
        <f t="array" aca="1" ref="AK14" ca="1">IF(ISNUMBER(_xll.BDH($N14,$P$4,AK$5)),
   _xll.BDH($N14,$P$4,AK$5),
   LOOKUP(2, 1/(ISNUMBER(AH14:AJ14)), AH14:AJ14))</f>
        <v>-0.01</v>
      </c>
      <c r="AL14" cm="1">
        <f t="array" aca="1" ref="AL14" ca="1">IF(ISNUMBER(_xll.BDH($N14,$P$4,AL$5)),
   _xll.BDH($N14,$P$4,AL$5),
   LOOKUP(2, 1/(ISNUMBER(AI14:AK14)), AI14:AK14))</f>
        <v>-5.0000000000000001E-3</v>
      </c>
      <c r="AM14" cm="1">
        <f t="array" aca="1" ref="AM14" ca="1">IF(ISNUMBER(_xll.BDH($N14,$P$4,AM$5)),
   _xll.BDH($N14,$P$4,AM$5),
   LOOKUP(2, 1/(ISNUMBER(AJ14:AL14)), AJ14:AL14))</f>
        <v>5.0000000000000001E-3</v>
      </c>
      <c r="AN14" cm="1">
        <f t="array" aca="1" ref="AN14" ca="1">IF(ISNUMBER(_xll.BDH($N14,$P$4,AN$5)),
   _xll.BDH($N14,$P$4,AN$5),
   LOOKUP(2, 1/(ISNUMBER(AK14:AM14)), AK14:AM14))</f>
        <v>0</v>
      </c>
      <c r="AO14" cm="1">
        <f t="array" aca="1" ref="AO14" ca="1">IF(ISNUMBER(_xll.BDH($N14,$P$4,AO$5)),
   _xll.BDH($N14,$P$4,AO$5),
   LOOKUP(2, 1/(ISNUMBER(AL14:AN14)), AL14:AN14))</f>
        <v>0</v>
      </c>
      <c r="AP14" cm="1">
        <f t="array" aca="1" ref="AP14" ca="1">IF(ISNUMBER(_xll.BDH($N14,$P$4,AP$5)),
   _xll.BDH($N14,$P$4,AP$5),
   LOOKUP(2, 1/(ISNUMBER(AM14:AO14)), AM14:AO14))</f>
        <v>-0.01</v>
      </c>
      <c r="AQ14" cm="1">
        <f t="array" aca="1" ref="AQ14" ca="1">IF(ISNUMBER(_xll.BDH($N14,$P$4,AQ$5)),
   _xll.BDH($N14,$P$4,AQ$5),
   LOOKUP(2, 1/(ISNUMBER(AN14:AP14)), AN14:AP14))</f>
        <v>-0.01</v>
      </c>
      <c r="AR14" cm="1">
        <f t="array" aca="1" ref="AR14" ca="1">IF(ISNUMBER(_xll.BDH($N14,$P$4,AR$5)),
   _xll.BDH($N14,$P$4,AR$5),
   LOOKUP(2, 1/(ISNUMBER(AO14:AQ14)), AO14:AQ14))</f>
        <v>-0.01</v>
      </c>
      <c r="AS14" cm="1">
        <f t="array" aca="1" ref="AS14" ca="1">IF(ISNUMBER(_xll.BDH($N14,$P$4,AS$5)),
   _xll.BDH($N14,$P$4,AS$5),
   LOOKUP(2, 1/(ISNUMBER(AP14:AR14)), AP14:AR14))</f>
        <v>-1.4999999999999999E-2</v>
      </c>
      <c r="AT14" cm="1">
        <f t="array" aca="1" ref="AT14" ca="1">IF(ISNUMBER(_xll.BDH($N14,$P$4,AT$5)),
   _xll.BDH($N14,$P$4,AT$5),
   LOOKUP(2, 1/(ISNUMBER(AQ14:AS14)), AQ14:AS14))</f>
        <v>3.5000000000000003E-2</v>
      </c>
      <c r="AU14" cm="1">
        <f t="array" aca="1" ref="AU14" ca="1">IF(ISNUMBER(_xll.BDH($N14,$P$4,AU$5)),
   _xll.BDH($N14,$P$4,AU$5),
   LOOKUP(2, 1/(ISNUMBER(AR14:AT14)), AR14:AT14))</f>
        <v>2.5000000000000001E-2</v>
      </c>
      <c r="AV14" cm="1">
        <f t="array" aca="1" ref="AV14" ca="1">IF(ISNUMBER(_xll.BDH($N14,$P$4,AV$5)),
   _xll.BDH($N14,$P$4,AV$5),
   LOOKUP(2, 1/(ISNUMBER(AS14:AU14)), AS14:AU14))</f>
        <v>0.02</v>
      </c>
      <c r="AW14" cm="1">
        <f t="array" aca="1" ref="AW14" ca="1">IF(ISNUMBER(_xll.BDH($N14,$P$4,AW$5)),
   _xll.BDH($N14,$P$4,AW$5),
   LOOKUP(2, 1/(ISNUMBER(AT14:AV14)), AT14:AV14))</f>
        <v>0.01</v>
      </c>
      <c r="AX14" cm="1">
        <f t="array" aca="1" ref="AX14" ca="1">IF(ISNUMBER(_xll.BDH($N14,$P$4,AX$5)),
   _xll.BDH($N14,$P$4,AX$5),
   LOOKUP(2, 1/(ISNUMBER(AU14:AW14)), AU14:AW14))</f>
        <v>0.03</v>
      </c>
      <c r="AY14" cm="1">
        <f t="array" aca="1" ref="AY14" ca="1">IF(ISNUMBER(_xll.BDH($N14,$P$4,AY$5)),
   _xll.BDH($N14,$P$4,AY$5),
   LOOKUP(2, 1/(ISNUMBER(AV14:AX14)), AV14:AX14))</f>
        <v>0.03</v>
      </c>
      <c r="AZ14" cm="1">
        <f t="array" aca="1" ref="AZ14" ca="1">IF(ISNUMBER(_xll.BDH($N14,$P$4,AZ$5)),
   _xll.BDH($N14,$P$4,AZ$5),
   LOOKUP(2, 1/(ISNUMBER(AW14:AY14)), AW14:AY14))</f>
        <v>0.04</v>
      </c>
      <c r="BA14" cm="1">
        <f t="array" aca="1" ref="BA14" ca="1">IF(ISNUMBER(_xll.BDH($N14,$P$4,BA$5)),
   _xll.BDH($N14,$P$4,BA$5),
   LOOKUP(2, 1/(ISNUMBER(AX14:AZ14)), AX14:AZ14))</f>
        <v>5.5E-2</v>
      </c>
      <c r="BB14" cm="1">
        <f t="array" aca="1" ref="BB14" ca="1">IF(ISNUMBER(_xll.BDH($N14,$P$4,BB$5)),
   _xll.BDH($N14,$P$4,BB$5),
   LOOKUP(2, 1/(ISNUMBER(AY14:BA14)), AY14:BA14))</f>
        <v>4.4999999999999998E-2</v>
      </c>
      <c r="BC14">
        <f t="shared" si="3"/>
        <v>0.04</v>
      </c>
    </row>
    <row r="15" spans="2:55" x14ac:dyDescent="0.25">
      <c r="B15" t="s">
        <v>141</v>
      </c>
      <c r="C15" t="s">
        <v>142</v>
      </c>
      <c r="D15">
        <v>10056</v>
      </c>
      <c r="E15">
        <v>0.13750000000000001</v>
      </c>
      <c r="F15">
        <v>0.14000000000000001</v>
      </c>
      <c r="G15">
        <v>3301</v>
      </c>
      <c r="H15">
        <v>2657</v>
      </c>
      <c r="I15">
        <v>0.13750000000000001</v>
      </c>
      <c r="J15" t="s">
        <v>143</v>
      </c>
      <c r="K15" t="s">
        <v>66</v>
      </c>
      <c r="N15" t="str">
        <f t="shared" si="1"/>
        <v>TKYERH7 comdty</v>
      </c>
      <c r="X15" s="2"/>
      <c r="Y15" s="2"/>
      <c r="Z15" s="2"/>
      <c r="AB15">
        <f t="shared" ca="1" si="4"/>
        <v>0.145625</v>
      </c>
      <c r="AC15">
        <f t="shared" ca="1" si="5"/>
        <v>3.8628842850906087E-3</v>
      </c>
      <c r="AD15">
        <f t="shared" ca="1" si="2"/>
        <v>-2.1033506054943634</v>
      </c>
      <c r="AF15" cm="1">
        <f t="array" aca="1" ref="AF15" ca="1">_xll.BDH($N15,$P$4,AF$5)</f>
        <v>0.155</v>
      </c>
      <c r="AG15" cm="1">
        <f t="array" aca="1" ref="AG15" ca="1">_xll.BDH($N15,$P$4,AG$5)</f>
        <v>0.1575</v>
      </c>
      <c r="AH15" cm="1">
        <f t="array" aca="1" ref="AH15" ca="1">_xll.BDH($N15,$P$4,AH$5)</f>
        <v>0.155</v>
      </c>
      <c r="AI15" cm="1">
        <f t="array" aca="1" ref="AI15" ca="1">IF(ISNUMBER(_xll.BDH($N15,$P$4,AI$5)),
   _xll.BDH($N15,$P$4,AI$5),
   LOOKUP(2, 1/(ISNUMBER(AF15:AH15)), AF15:AH15))</f>
        <v>0.14749999999999999</v>
      </c>
      <c r="AJ15" cm="1">
        <f t="array" aca="1" ref="AJ15" ca="1">IF(ISNUMBER(_xll.BDH($N15,$P$4,AJ$5)),
   _xll.BDH($N15,$P$4,AJ$5),
   LOOKUP(2, 1/(ISNUMBER(AG15:AI15)), AG15:AI15))</f>
        <v>0.14749999999999999</v>
      </c>
      <c r="AK15" cm="1">
        <f t="array" aca="1" ref="AK15" ca="1">IF(ISNUMBER(_xll.BDH($N15,$P$4,AK$5)),
   _xll.BDH($N15,$P$4,AK$5),
   LOOKUP(2, 1/(ISNUMBER(AH15:AJ15)), AH15:AJ15))</f>
        <v>0.15</v>
      </c>
      <c r="AL15" cm="1">
        <f t="array" aca="1" ref="AL15" ca="1">IF(ISNUMBER(_xll.BDH($N15,$P$4,AL$5)),
   _xll.BDH($N15,$P$4,AL$5),
   LOOKUP(2, 1/(ISNUMBER(AI15:AK15)), AI15:AK15))</f>
        <v>0.1525</v>
      </c>
      <c r="AM15" cm="1">
        <f t="array" aca="1" ref="AM15" ca="1">IF(ISNUMBER(_xll.BDH($N15,$P$4,AM$5)),
   _xll.BDH($N15,$P$4,AM$5),
   LOOKUP(2, 1/(ISNUMBER(AJ15:AL15)), AJ15:AL15))</f>
        <v>0.1525</v>
      </c>
      <c r="AN15" cm="1">
        <f t="array" aca="1" ref="AN15" ca="1">IF(ISNUMBER(_xll.BDH($N15,$P$4,AN$5)),
   _xll.BDH($N15,$P$4,AN$5),
   LOOKUP(2, 1/(ISNUMBER(AK15:AM15)), AK15:AM15))</f>
        <v>0.14749999999999999</v>
      </c>
      <c r="AO15" cm="1">
        <f t="array" aca="1" ref="AO15" ca="1">IF(ISNUMBER(_xll.BDH($N15,$P$4,AO$5)),
   _xll.BDH($N15,$P$4,AO$5),
   LOOKUP(2, 1/(ISNUMBER(AL15:AN15)), AL15:AN15))</f>
        <v>0.14499999999999999</v>
      </c>
      <c r="AP15" cm="1">
        <f t="array" aca="1" ref="AP15" ca="1">IF(ISNUMBER(_xll.BDH($N15,$P$4,AP$5)),
   _xll.BDH($N15,$P$4,AP$5),
   LOOKUP(2, 1/(ISNUMBER(AM15:AO15)), AM15:AO15))</f>
        <v>0.14749999999999999</v>
      </c>
      <c r="AQ15" cm="1">
        <f t="array" aca="1" ref="AQ15" ca="1">IF(ISNUMBER(_xll.BDH($N15,$P$4,AQ$5)),
   _xll.BDH($N15,$P$4,AQ$5),
   LOOKUP(2, 1/(ISNUMBER(AN15:AP15)), AN15:AP15))</f>
        <v>0.14749999999999999</v>
      </c>
      <c r="AR15" cm="1">
        <f t="array" aca="1" ref="AR15" ca="1">IF(ISNUMBER(_xll.BDH($N15,$P$4,AR$5)),
   _xll.BDH($N15,$P$4,AR$5),
   LOOKUP(2, 1/(ISNUMBER(AO15:AQ15)), AO15:AQ15))</f>
        <v>0.14749999999999999</v>
      </c>
      <c r="AS15" cm="1">
        <f t="array" aca="1" ref="AS15" ca="1">IF(ISNUMBER(_xll.BDH($N15,$P$4,AS$5)),
   _xll.BDH($N15,$P$4,AS$5),
   LOOKUP(2, 1/(ISNUMBER(AP15:AR15)), AP15:AR15))</f>
        <v>0.15</v>
      </c>
      <c r="AT15" cm="1">
        <f t="array" aca="1" ref="AT15" ca="1">IF(ISNUMBER(_xll.BDH($N15,$P$4,AT$5)),
   _xll.BDH($N15,$P$4,AT$5),
   LOOKUP(2, 1/(ISNUMBER(AQ15:AS15)), AQ15:AS15))</f>
        <v>0.14249999999999999</v>
      </c>
      <c r="AU15" cm="1">
        <f t="array" aca="1" ref="AU15" ca="1">IF(ISNUMBER(_xll.BDH($N15,$P$4,AU$5)),
   _xll.BDH($N15,$P$4,AU$5),
   LOOKUP(2, 1/(ISNUMBER(AR15:AT15)), AR15:AT15))</f>
        <v>0.14249999999999999</v>
      </c>
      <c r="AV15" cm="1">
        <f t="array" aca="1" ref="AV15" ca="1">IF(ISNUMBER(_xll.BDH($N15,$P$4,AV$5)),
   _xll.BDH($N15,$P$4,AV$5),
   LOOKUP(2, 1/(ISNUMBER(AS15:AU15)), AS15:AU15))</f>
        <v>0.14249999999999999</v>
      </c>
      <c r="AW15" cm="1">
        <f t="array" aca="1" ref="AW15" ca="1">IF(ISNUMBER(_xll.BDH($N15,$P$4,AW$5)),
   _xll.BDH($N15,$P$4,AW$5),
   LOOKUP(2, 1/(ISNUMBER(AT15:AV15)), AT15:AV15))</f>
        <v>0.14499999999999999</v>
      </c>
      <c r="AX15" cm="1">
        <f t="array" aca="1" ref="AX15" ca="1">IF(ISNUMBER(_xll.BDH($N15,$P$4,AX$5)),
   _xll.BDH($N15,$P$4,AX$5),
   LOOKUP(2, 1/(ISNUMBER(AU15:AW15)), AU15:AW15))</f>
        <v>0.14249999999999999</v>
      </c>
      <c r="AY15" cm="1">
        <f t="array" aca="1" ref="AY15" ca="1">IF(ISNUMBER(_xll.BDH($N15,$P$4,AY$5)),
   _xll.BDH($N15,$P$4,AY$5),
   LOOKUP(2, 1/(ISNUMBER(AV15:AX15)), AV15:AX15))</f>
        <v>0.14000000000000001</v>
      </c>
      <c r="AZ15" cm="1">
        <f t="array" aca="1" ref="AZ15" ca="1">IF(ISNUMBER(_xll.BDH($N15,$P$4,AZ$5)),
   _xll.BDH($N15,$P$4,AZ$5),
   LOOKUP(2, 1/(ISNUMBER(AW15:AY15)), AW15:AY15))</f>
        <v>0.14249999999999999</v>
      </c>
      <c r="BA15" cm="1">
        <f t="array" aca="1" ref="BA15" ca="1">IF(ISNUMBER(_xll.BDH($N15,$P$4,BA$5)),
   _xll.BDH($N15,$P$4,BA$5),
   LOOKUP(2, 1/(ISNUMBER(AX15:AZ15)), AX15:AZ15))</f>
        <v>0.14000000000000001</v>
      </c>
      <c r="BB15" cm="1">
        <f t="array" aca="1" ref="BB15" ca="1">IF(ISNUMBER(_xll.BDH($N15,$P$4,BB$5)),
   _xll.BDH($N15,$P$4,BB$5),
   LOOKUP(2, 1/(ISNUMBER(AY15:BA15)), AY15:BA15))</f>
        <v>0.14000000000000001</v>
      </c>
      <c r="BC15">
        <f t="shared" si="3"/>
        <v>0.13750000000000001</v>
      </c>
    </row>
    <row r="16" spans="2:55" x14ac:dyDescent="0.25">
      <c r="B16" t="s">
        <v>95</v>
      </c>
      <c r="C16" t="s">
        <v>96</v>
      </c>
      <c r="D16">
        <v>6951</v>
      </c>
      <c r="E16">
        <v>-3.5000000000000003E-2</v>
      </c>
      <c r="F16">
        <v>-0.03</v>
      </c>
      <c r="G16">
        <v>1386</v>
      </c>
      <c r="H16">
        <v>5521</v>
      </c>
      <c r="I16">
        <v>-0.03</v>
      </c>
      <c r="J16" t="s">
        <v>97</v>
      </c>
      <c r="K16" t="s">
        <v>23</v>
      </c>
      <c r="N16" t="str">
        <f t="shared" si="1"/>
        <v>ERH7ERH8 comdty</v>
      </c>
      <c r="X16" s="2"/>
      <c r="Y16" s="2"/>
      <c r="Z16" s="2"/>
      <c r="AB16">
        <f t="shared" ca="1" si="4"/>
        <v>-0.10574999999999998</v>
      </c>
      <c r="AC16">
        <f t="shared" ca="1" si="5"/>
        <v>5.4297214477355991E-2</v>
      </c>
      <c r="AD16">
        <f t="shared" ca="1" si="2"/>
        <v>1.3950991911673594</v>
      </c>
      <c r="AF16" cm="1">
        <f t="array" aca="1" ref="AF16" ca="1">_xll.BDH($N16,$P$4,AF$5)</f>
        <v>-0.14000000000000001</v>
      </c>
      <c r="AG16" cm="1">
        <f t="array" aca="1" ref="AG16" ca="1">_xll.BDH($N16,$P$4,AG$5)</f>
        <v>-0.2</v>
      </c>
      <c r="AH16" cm="1">
        <f t="array" aca="1" ref="AH16" ca="1">_xll.BDH($N16,$P$4,AH$5)</f>
        <v>-0.13</v>
      </c>
      <c r="AI16" cm="1">
        <f t="array" aca="1" ref="AI16" ca="1">IF(ISNUMBER(_xll.BDH($N16,$P$4,AI$5)),
   _xll.BDH($N16,$P$4,AI$5),
   LOOKUP(2, 1/(ISNUMBER(AF16:AH16)), AF16:AH16))</f>
        <v>-0.18</v>
      </c>
      <c r="AJ16" cm="1">
        <f t="array" aca="1" ref="AJ16" ca="1">IF(ISNUMBER(_xll.BDH($N16,$P$4,AJ$5)),
   _xll.BDH($N16,$P$4,AJ$5),
   LOOKUP(2, 1/(ISNUMBER(AG16:AI16)), AG16:AI16))</f>
        <v>-0.16500000000000001</v>
      </c>
      <c r="AK16" cm="1">
        <f t="array" aca="1" ref="AK16" ca="1">IF(ISNUMBER(_xll.BDH($N16,$P$4,AK$5)),
   _xll.BDH($N16,$P$4,AK$5),
   LOOKUP(2, 1/(ISNUMBER(AH16:AJ16)), AH16:AJ16))</f>
        <v>-0.17</v>
      </c>
      <c r="AL16" cm="1">
        <f t="array" aca="1" ref="AL16" ca="1">IF(ISNUMBER(_xll.BDH($N16,$P$4,AL$5)),
   _xll.BDH($N16,$P$4,AL$5),
   LOOKUP(2, 1/(ISNUMBER(AI16:AK16)), AI16:AK16))</f>
        <v>-0.14499999999999999</v>
      </c>
      <c r="AM16" cm="1">
        <f t="array" aca="1" ref="AM16" ca="1">IF(ISNUMBER(_xll.BDH($N16,$P$4,AM$5)),
   _xll.BDH($N16,$P$4,AM$5),
   LOOKUP(2, 1/(ISNUMBER(AJ16:AL16)), AJ16:AL16))</f>
        <v>-0.14000000000000001</v>
      </c>
      <c r="AN16" cm="1">
        <f t="array" aca="1" ref="AN16" ca="1">IF(ISNUMBER(_xll.BDH($N16,$P$4,AN$5)),
   _xll.BDH($N16,$P$4,AN$5),
   LOOKUP(2, 1/(ISNUMBER(AK16:AM16)), AK16:AM16))</f>
        <v>-0.14499999999999999</v>
      </c>
      <c r="AO16" cm="1">
        <f t="array" aca="1" ref="AO16" ca="1">IF(ISNUMBER(_xll.BDH($N16,$P$4,AO$5)),
   _xll.BDH($N16,$P$4,AO$5),
   LOOKUP(2, 1/(ISNUMBER(AL16:AN16)), AL16:AN16))</f>
        <v>-0.11</v>
      </c>
      <c r="AP16" cm="1">
        <f t="array" aca="1" ref="AP16" ca="1">IF(ISNUMBER(_xll.BDH($N16,$P$4,AP$5)),
   _xll.BDH($N16,$P$4,AP$5),
   LOOKUP(2, 1/(ISNUMBER(AM16:AO16)), AM16:AO16))</f>
        <v>-0.15</v>
      </c>
      <c r="AQ16" cm="1">
        <f t="array" aca="1" ref="AQ16" ca="1">IF(ISNUMBER(_xll.BDH($N16,$P$4,AQ$5)),
   _xll.BDH($N16,$P$4,AQ$5),
   LOOKUP(2, 1/(ISNUMBER(AN16:AP16)), AN16:AP16))</f>
        <v>-0.15</v>
      </c>
      <c r="AR16" cm="1">
        <f t="array" aca="1" ref="AR16" ca="1">IF(ISNUMBER(_xll.BDH($N16,$P$4,AR$5)),
   _xll.BDH($N16,$P$4,AR$5),
   LOOKUP(2, 1/(ISNUMBER(AO16:AQ16)), AO16:AQ16))</f>
        <v>-0.15</v>
      </c>
      <c r="AS16" cm="1">
        <f t="array" aca="1" ref="AS16" ca="1">IF(ISNUMBER(_xll.BDH($N16,$P$4,AS$5)),
   _xll.BDH($N16,$P$4,AS$5),
   LOOKUP(2, 1/(ISNUMBER(AP16:AR16)), AP16:AR16))</f>
        <v>-0.155</v>
      </c>
      <c r="AT16" cm="1">
        <f t="array" aca="1" ref="AT16" ca="1">IF(ISNUMBER(_xll.BDH($N16,$P$4,AT$5)),
   _xll.BDH($N16,$P$4,AT$5),
   LOOKUP(2, 1/(ISNUMBER(AQ16:AS16)), AQ16:AS16))</f>
        <v>-0.05</v>
      </c>
      <c r="AU16" cm="1">
        <f t="array" aca="1" ref="AU16" ca="1">IF(ISNUMBER(_xll.BDH($N16,$P$4,AU$5)),
   _xll.BDH($N16,$P$4,AU$5),
   LOOKUP(2, 1/(ISNUMBER(AR16:AT16)), AR16:AT16))</f>
        <v>-5.5E-2</v>
      </c>
      <c r="AV16" cm="1">
        <f t="array" aca="1" ref="AV16" ca="1">IF(ISNUMBER(_xll.BDH($N16,$P$4,AV$5)),
   _xll.BDH($N16,$P$4,AV$5),
   LOOKUP(2, 1/(ISNUMBER(AS16:AU16)), AS16:AU16))</f>
        <v>-6.5000000000000002E-2</v>
      </c>
      <c r="AW16" cm="1">
        <f t="array" aca="1" ref="AW16" ca="1">IF(ISNUMBER(_xll.BDH($N16,$P$4,AW$5)),
   _xll.BDH($N16,$P$4,AW$5),
   LOOKUP(2, 1/(ISNUMBER(AT16:AV16)), AT16:AV16))</f>
        <v>-0.1</v>
      </c>
      <c r="AX16" cm="1">
        <f t="array" aca="1" ref="AX16" ca="1">IF(ISNUMBER(_xll.BDH($N16,$P$4,AX$5)),
   _xll.BDH($N16,$P$4,AX$5),
   LOOKUP(2, 1/(ISNUMBER(AU16:AW16)), AU16:AW16))</f>
        <v>-0.06</v>
      </c>
      <c r="AY16" cm="1">
        <f t="array" aca="1" ref="AY16" ca="1">IF(ISNUMBER(_xll.BDH($N16,$P$4,AY$5)),
   _xll.BDH($N16,$P$4,AY$5),
   LOOKUP(2, 1/(ISNUMBER(AV16:AX16)), AV16:AX16))</f>
        <v>-0.06</v>
      </c>
      <c r="AZ16" cm="1">
        <f t="array" aca="1" ref="AZ16" ca="1">IF(ISNUMBER(_xll.BDH($N16,$P$4,AZ$5)),
   _xll.BDH($N16,$P$4,AZ$5),
   LOOKUP(2, 1/(ISNUMBER(AW16:AY16)), AW16:AY16))</f>
        <v>-3.5000000000000003E-2</v>
      </c>
      <c r="BA16" cm="1">
        <f t="array" aca="1" ref="BA16" ca="1">IF(ISNUMBER(_xll.BDH($N16,$P$4,BA$5)),
   _xll.BDH($N16,$P$4,BA$5),
   LOOKUP(2, 1/(ISNUMBER(AX16:AZ16)), AX16:AZ16))</f>
        <v>-5.0000000000000001E-3</v>
      </c>
      <c r="BB16" cm="1">
        <f t="array" aca="1" ref="BB16" ca="1">IF(ISNUMBER(_xll.BDH($N16,$P$4,BB$5)),
   _xll.BDH($N16,$P$4,BB$5),
   LOOKUP(2, 1/(ISNUMBER(AY16:BA16)), AY16:BA16))</f>
        <v>-2.5000000000000001E-2</v>
      </c>
      <c r="BC16">
        <f t="shared" si="3"/>
        <v>-0.03</v>
      </c>
    </row>
    <row r="17" spans="1:55" x14ac:dyDescent="0.25">
      <c r="B17" t="s">
        <v>73</v>
      </c>
      <c r="C17" t="s">
        <v>74</v>
      </c>
      <c r="D17">
        <v>26504</v>
      </c>
      <c r="E17">
        <v>0.31</v>
      </c>
      <c r="F17">
        <v>0.315</v>
      </c>
      <c r="G17">
        <v>624</v>
      </c>
      <c r="H17">
        <v>1821</v>
      </c>
      <c r="I17">
        <v>0.315</v>
      </c>
      <c r="J17" t="s">
        <v>75</v>
      </c>
      <c r="K17" t="s">
        <v>23</v>
      </c>
      <c r="N17" t="str">
        <f t="shared" si="1"/>
        <v>ERU6ERU7 comdty</v>
      </c>
      <c r="AF17" cm="1">
        <f t="array" aca="1" ref="AF17" ca="1">_xll.BDH($N17,$P$4,AF$5)</f>
        <v>3.5000000000000003E-2</v>
      </c>
      <c r="AG17" cm="1">
        <f t="array" aca="1" ref="AG17" ca="1">_xll.BDH($N17,$P$4,AG$5)</f>
        <v>1.4999999999999999E-2</v>
      </c>
      <c r="AH17" cm="1">
        <f t="array" aca="1" ref="AH17" ca="1">_xll.BDH($N17,$P$4,AH$5)</f>
        <v>0.01</v>
      </c>
      <c r="AI17" cm="1">
        <f t="array" aca="1" ref="AI17" ca="1">IF(ISNUMBER(_xll.BDH($N17,$P$4,AI$5)),
   _xll.BDH($N17,$P$4,AI$5),
   LOOKUP(2, 1/(ISNUMBER(AF17:AH17)), AF17:AH17))</f>
        <v>-5.0000000000000001E-3</v>
      </c>
      <c r="AJ17" cm="1">
        <f t="array" aca="1" ref="AJ17" ca="1">IF(ISNUMBER(_xll.BDH($N17,$P$4,AJ$5)),
   _xll.BDH($N17,$P$4,AJ$5),
   LOOKUP(2, 1/(ISNUMBER(AG17:AI17)), AG17:AI17))</f>
        <v>0.01</v>
      </c>
      <c r="AK17" cm="1">
        <f t="array" aca="1" ref="AK17" ca="1">IF(ISNUMBER(_xll.BDH($N17,$P$4,AK$5)),
   _xll.BDH($N17,$P$4,AK$5),
   LOOKUP(2, 1/(ISNUMBER(AH17:AJ17)), AH17:AJ17))</f>
        <v>0.04</v>
      </c>
      <c r="AL17" cm="1">
        <f t="array" aca="1" ref="AL17" ca="1">IF(ISNUMBER(_xll.BDH($N17,$P$4,AL$5)),
   _xll.BDH($N17,$P$4,AL$5),
   LOOKUP(2, 1/(ISNUMBER(AI17:AK17)), AI17:AK17))</f>
        <v>0.09</v>
      </c>
      <c r="AM17" cm="1">
        <f t="array" aca="1" ref="AM17" ca="1">IF(ISNUMBER(_xll.BDH($N17,$P$4,AM$5)),
   _xll.BDH($N17,$P$4,AM$5),
   LOOKUP(2, 1/(ISNUMBER(AJ17:AL17)), AJ17:AL17))</f>
        <v>4.4999999999999998E-2</v>
      </c>
      <c r="AN17" cm="1">
        <f t="array" aca="1" ref="AN17" ca="1">IF(ISNUMBER(_xll.BDH($N17,$P$4,AN$5)),
   _xll.BDH($N17,$P$4,AN$5),
   LOOKUP(2, 1/(ISNUMBER(AK17:AM17)), AK17:AM17))</f>
        <v>2.5000000000000001E-2</v>
      </c>
      <c r="AO17" cm="1">
        <f t="array" aca="1" ref="AO17" ca="1">IF(ISNUMBER(_xll.BDH($N17,$P$4,AO$5)),
   _xll.BDH($N17,$P$4,AO$5),
   LOOKUP(2, 1/(ISNUMBER(AL17:AN17)), AL17:AN17))</f>
        <v>0.05</v>
      </c>
      <c r="AP17" cm="1">
        <f t="array" aca="1" ref="AP17" ca="1">IF(ISNUMBER(_xll.BDH($N17,$P$4,AP$5)),
   _xll.BDH($N17,$P$4,AP$5),
   LOOKUP(2, 1/(ISNUMBER(AM17:AO17)), AM17:AO17))</f>
        <v>0.02</v>
      </c>
      <c r="AQ17" cm="1">
        <f t="array" aca="1" ref="AQ17" ca="1">IF(ISNUMBER(_xll.BDH($N17,$P$4,AQ$5)),
   _xll.BDH($N17,$P$4,AQ$5),
   LOOKUP(2, 1/(ISNUMBER(AN17:AP17)), AN17:AP17))</f>
        <v>0.02</v>
      </c>
      <c r="AR17" cm="1">
        <f t="array" aca="1" ref="AR17" ca="1">IF(ISNUMBER(_xll.BDH($N17,$P$4,AR$5)),
   _xll.BDH($N17,$P$4,AR$5),
   LOOKUP(2, 1/(ISNUMBER(AO17:AQ17)), AO17:AQ17))</f>
        <v>0.02</v>
      </c>
      <c r="AS17" cm="1">
        <f t="array" aca="1" ref="AS17" ca="1">IF(ISNUMBER(_xll.BDH($N17,$P$4,AS$5)),
   _xll.BDH($N17,$P$4,AS$5),
   LOOKUP(2, 1/(ISNUMBER(AP17:AR17)), AP17:AR17))</f>
        <v>0.04</v>
      </c>
      <c r="AT17" cm="1">
        <f t="array" aca="1" ref="AT17" ca="1">IF(ISNUMBER(_xll.BDH($N17,$P$4,AT$5)),
   _xll.BDH($N17,$P$4,AT$5),
   LOOKUP(2, 1/(ISNUMBER(AQ17:AS17)), AQ17:AS17))</f>
        <v>0.02</v>
      </c>
      <c r="AU17" cm="1">
        <f t="array" aca="1" ref="AU17" ca="1">IF(ISNUMBER(_xll.BDH($N17,$P$4,AU$5)),
   _xll.BDH($N17,$P$4,AU$5),
   LOOKUP(2, 1/(ISNUMBER(AR17:AT17)), AR17:AT17))</f>
        <v>0.06</v>
      </c>
      <c r="AV17" cm="1">
        <f t="array" aca="1" ref="AV17" ca="1">IF(ISNUMBER(_xll.BDH($N17,$P$4,AV$5)),
   _xll.BDH($N17,$P$4,AV$5),
   LOOKUP(2, 1/(ISNUMBER(AS17:AU17)), AS17:AU17))</f>
        <v>4.4999999999999998E-2</v>
      </c>
      <c r="AW17" cm="1">
        <f t="array" aca="1" ref="AW17" ca="1">IF(ISNUMBER(_xll.BDH($N17,$P$4,AW$5)),
   _xll.BDH($N17,$P$4,AW$5),
   LOOKUP(2, 1/(ISNUMBER(AT17:AV17)), AT17:AV17))</f>
        <v>0.05</v>
      </c>
      <c r="AX17" cm="1">
        <f t="array" aca="1" ref="AX17" ca="1">IF(ISNUMBER(_xll.BDH($N17,$P$4,AX$5)),
   _xll.BDH($N17,$P$4,AX$5),
   LOOKUP(2, 1/(ISNUMBER(AU17:AW17)), AU17:AW17))</f>
        <v>4.4999999999999998E-2</v>
      </c>
      <c r="AY17" cm="1">
        <f t="array" aca="1" ref="AY17" ca="1">IF(ISNUMBER(_xll.BDH($N17,$P$4,AY$5)),
   _xll.BDH($N17,$P$4,AY$5),
   LOOKUP(2, 1/(ISNUMBER(AV17:AX17)), AV17:AX17))</f>
        <v>5.5E-2</v>
      </c>
      <c r="AZ17" cm="1">
        <f t="array" aca="1" ref="AZ17" ca="1">IF(ISNUMBER(_xll.BDH($N17,$P$4,AZ$5)),
   _xll.BDH($N17,$P$4,AZ$5),
   LOOKUP(2, 1/(ISNUMBER(AW17:AY17)), AW17:AY17))</f>
        <v>0.08</v>
      </c>
      <c r="BA17" cm="1">
        <f t="array" aca="1" ref="BA17" ca="1">IF(ISNUMBER(_xll.BDH($N17,$P$4,BA$5)),
   _xll.BDH($N17,$P$4,BA$5),
   LOOKUP(2, 1/(ISNUMBER(AX17:AZ17)), AX17:AZ17))</f>
        <v>7.4999999999999997E-2</v>
      </c>
      <c r="BB17" cm="1">
        <f t="array" aca="1" ref="BB17" ca="1">IF(ISNUMBER(_xll.BDH($N17,$P$4,BB$5)),
   _xll.BDH($N17,$P$4,BB$5),
   LOOKUP(2, 1/(ISNUMBER(AY17:BA17)), AY17:BA17))</f>
        <v>6.5000000000000002E-2</v>
      </c>
      <c r="BC17">
        <f>P17</f>
        <v>0</v>
      </c>
    </row>
    <row r="18" spans="1:55" x14ac:dyDescent="0.25">
      <c r="AF18" t="str" cm="1">
        <f t="array" aca="1" ref="AF18" ca="1">_xll.BDH($N18,$P$4,AF$5)</f>
        <v>#N/A Mandatory parameter [SECURITY] cannot be empty</v>
      </c>
      <c r="AG18" t="str" cm="1">
        <f t="array" aca="1" ref="AG18" ca="1">_xll.BDH($N18,$P$4,AG$5)</f>
        <v>#N/A Mandatory parameter [SECURITY] cannot be empty</v>
      </c>
      <c r="AH18" t="str" cm="1">
        <f t="array" aca="1" ref="AH18" ca="1">_xll.BDH($N18,$P$4,AH$5)</f>
        <v>#N/A Mandatory parameter [SECURITY] cannot be empty</v>
      </c>
      <c r="AI18" t="e" cm="1">
        <f t="array" aca="1" ref="AI18" ca="1">IF(ISNUMBER(_xll.BDH($N18,$P$4,AI$5)),
   _xll.BDH($N18,$P$4,AI$5),
   LOOKUP(2, 1/(ISNUMBER(AF18:AH18)), AF18:AH18))</f>
        <v>#N/A</v>
      </c>
      <c r="AJ18" t="e" cm="1">
        <f t="array" aca="1" ref="AJ18" ca="1">IF(ISNUMBER(_xll.BDH($N18,$P$4,AJ$5)),
   _xll.BDH($N18,$P$4,AJ$5),
   LOOKUP(2, 1/(ISNUMBER(AG18:AI18)), AG18:AI18))</f>
        <v>#N/A</v>
      </c>
      <c r="AK18" t="e" cm="1">
        <f t="array" aca="1" ref="AK18" ca="1">IF(ISNUMBER(_xll.BDH($N18,$P$4,AK$5)),
   _xll.BDH($N18,$P$4,AK$5),
   LOOKUP(2, 1/(ISNUMBER(AH18:AJ18)), AH18:AJ18))</f>
        <v>#N/A</v>
      </c>
      <c r="AL18" t="e" cm="1">
        <f t="array" aca="1" ref="AL18" ca="1">IF(ISNUMBER(_xll.BDH($N18,$P$4,AL$5)),
   _xll.BDH($N18,$P$4,AL$5),
   LOOKUP(2, 1/(ISNUMBER(AI18:AK18)), AI18:AK18))</f>
        <v>#N/A</v>
      </c>
      <c r="AM18" t="e" cm="1">
        <f t="array" aca="1" ref="AM18" ca="1">IF(ISNUMBER(_xll.BDH($N18,$P$4,AM$5)),
   _xll.BDH($N18,$P$4,AM$5),
   LOOKUP(2, 1/(ISNUMBER(AJ18:AL18)), AJ18:AL18))</f>
        <v>#N/A</v>
      </c>
      <c r="AN18" t="e" cm="1">
        <f t="array" aca="1" ref="AN18" ca="1">IF(ISNUMBER(_xll.BDH($N18,$P$4,AN$5)),
   _xll.BDH($N18,$P$4,AN$5),
   LOOKUP(2, 1/(ISNUMBER(AK18:AM18)), AK18:AM18))</f>
        <v>#N/A</v>
      </c>
      <c r="AO18" t="e" cm="1">
        <f t="array" aca="1" ref="AO18" ca="1">IF(ISNUMBER(_xll.BDH($N18,$P$4,AO$5)),
   _xll.BDH($N18,$P$4,AO$5),
   LOOKUP(2, 1/(ISNUMBER(AL18:AN18)), AL18:AN18))</f>
        <v>#N/A</v>
      </c>
      <c r="AP18" t="e" cm="1">
        <f t="array" aca="1" ref="AP18" ca="1">IF(ISNUMBER(_xll.BDH($N18,$P$4,AP$5)),
   _xll.BDH($N18,$P$4,AP$5),
   LOOKUP(2, 1/(ISNUMBER(AM18:AO18)), AM18:AO18))</f>
        <v>#N/A</v>
      </c>
      <c r="AQ18" t="e" cm="1">
        <f t="array" aca="1" ref="AQ18" ca="1">IF(ISNUMBER(_xll.BDH($N18,$P$4,AQ$5)),
   _xll.BDH($N18,$P$4,AQ$5),
   LOOKUP(2, 1/(ISNUMBER(AN18:AP18)), AN18:AP18))</f>
        <v>#N/A</v>
      </c>
      <c r="AR18" t="e" cm="1">
        <f t="array" aca="1" ref="AR18" ca="1">IF(ISNUMBER(_xll.BDH($N18,$P$4,AR$5)),
   _xll.BDH($N18,$P$4,AR$5),
   LOOKUP(2, 1/(ISNUMBER(AO18:AQ18)), AO18:AQ18))</f>
        <v>#N/A</v>
      </c>
      <c r="AS18" t="e" cm="1">
        <f t="array" aca="1" ref="AS18" ca="1">IF(ISNUMBER(_xll.BDH($N18,$P$4,AS$5)),
   _xll.BDH($N18,$P$4,AS$5),
   LOOKUP(2, 1/(ISNUMBER(AP18:AR18)), AP18:AR18))</f>
        <v>#N/A</v>
      </c>
      <c r="AT18" t="e" cm="1">
        <f t="array" aca="1" ref="AT18" ca="1">IF(ISNUMBER(_xll.BDH($N18,$P$4,AT$5)),
   _xll.BDH($N18,$P$4,AT$5),
   LOOKUP(2, 1/(ISNUMBER(AQ18:AS18)), AQ18:AS18))</f>
        <v>#N/A</v>
      </c>
      <c r="AU18" t="e" cm="1">
        <f t="array" aca="1" ref="AU18" ca="1">IF(ISNUMBER(_xll.BDH($N18,$P$4,AU$5)),
   _xll.BDH($N18,$P$4,AU$5),
   LOOKUP(2, 1/(ISNUMBER(AR18:AT18)), AR18:AT18))</f>
        <v>#N/A</v>
      </c>
      <c r="AV18" t="e" cm="1">
        <f t="array" aca="1" ref="AV18" ca="1">IF(ISNUMBER(_xll.BDH($N18,$P$4,AV$5)),
   _xll.BDH($N18,$P$4,AV$5),
   LOOKUP(2, 1/(ISNUMBER(AS18:AU18)), AS18:AU18))</f>
        <v>#N/A</v>
      </c>
      <c r="AW18" t="e" cm="1">
        <f t="array" aca="1" ref="AW18" ca="1">IF(ISNUMBER(_xll.BDH($N18,$P$4,AW$5)),
   _xll.BDH($N18,$P$4,AW$5),
   LOOKUP(2, 1/(ISNUMBER(AT18:AV18)), AT18:AV18))</f>
        <v>#N/A</v>
      </c>
      <c r="AX18" t="e" cm="1">
        <f t="array" aca="1" ref="AX18" ca="1">IF(ISNUMBER(_xll.BDH($N18,$P$4,AX$5)),
   _xll.BDH($N18,$P$4,AX$5),
   LOOKUP(2, 1/(ISNUMBER(AU18:AW18)), AU18:AW18))</f>
        <v>#N/A</v>
      </c>
      <c r="AY18" t="e" cm="1">
        <f t="array" aca="1" ref="AY18" ca="1">IF(ISNUMBER(_xll.BDH($N18,$P$4,AY$5)),
   _xll.BDH($N18,$P$4,AY$5),
   LOOKUP(2, 1/(ISNUMBER(AV18:AX18)), AV18:AX18))</f>
        <v>#N/A</v>
      </c>
      <c r="AZ18" t="e" cm="1">
        <f t="array" aca="1" ref="AZ18" ca="1">IF(ISNUMBER(_xll.BDH($N18,$P$4,AZ$5)),
   _xll.BDH($N18,$P$4,AZ$5),
   LOOKUP(2, 1/(ISNUMBER(AW18:AY18)), AW18:AY18))</f>
        <v>#N/A</v>
      </c>
      <c r="BA18" t="e" cm="1">
        <f t="array" aca="1" ref="BA18" ca="1">IF(ISNUMBER(_xll.BDH($N18,$P$4,BA$5)),
   _xll.BDH($N18,$P$4,BA$5),
   LOOKUP(2, 1/(ISNUMBER(AX18:AZ18)), AX18:AZ18))</f>
        <v>#N/A</v>
      </c>
      <c r="BB18" t="e" cm="1">
        <f t="array" aca="1" ref="BB18" ca="1">IF(ISNUMBER(_xll.BDH($N18,$P$4,BB$5)),
   _xll.BDH($N18,$P$4,BB$5),
   LOOKUP(2, 1/(ISNUMBER(AY18:BA18)), AY18:BA18))</f>
        <v>#N/A</v>
      </c>
      <c r="BC18">
        <f>P18</f>
        <v>0</v>
      </c>
    </row>
    <row r="19" spans="1:55" x14ac:dyDescent="0.25">
      <c r="J19" t="s">
        <v>41</v>
      </c>
      <c r="K19" s="6" t="s">
        <v>42</v>
      </c>
      <c r="N19" s="1">
        <f ca="1">WORKDAY(TODAY(),-1)</f>
        <v>46132</v>
      </c>
    </row>
    <row r="20" spans="1:55" x14ac:dyDescent="0.25">
      <c r="N20" s="1"/>
    </row>
    <row r="21" spans="1:55" x14ac:dyDescent="0.25">
      <c r="B21" s="5" t="s">
        <v>3</v>
      </c>
      <c r="C21" s="5" t="s">
        <v>43</v>
      </c>
      <c r="D21" s="5" t="s">
        <v>44</v>
      </c>
      <c r="E21" s="5" t="s">
        <v>45</v>
      </c>
      <c r="F21" s="5" t="s">
        <v>13</v>
      </c>
      <c r="G21" s="5" t="s">
        <v>46</v>
      </c>
      <c r="H21" s="5" t="s">
        <v>9</v>
      </c>
      <c r="I21" s="5" t="s">
        <v>47</v>
      </c>
      <c r="J21" s="5" t="s">
        <v>48</v>
      </c>
      <c r="K21" s="4" t="s">
        <v>49</v>
      </c>
    </row>
    <row r="22" spans="1:55" x14ac:dyDescent="0.25">
      <c r="A22" t="str">
        <f>B22&amp;" comdty"</f>
        <v>TKYERM6 comdty</v>
      </c>
      <c r="B22" s="5" t="str">
        <f t="shared" ref="B22:B32" si="6">B6</f>
        <v>TKYERM6</v>
      </c>
      <c r="C22" cm="1">
        <f t="array" ref="C22">_xll.BDP($N6,P$4)</f>
        <v>0.125</v>
      </c>
      <c r="D22" s="3" cm="1">
        <f t="array" aca="1" ref="D22" ca="1">((F22+G22)/2) - (_xll.BDH($N6,$P$4,$N$19))</f>
        <v>-1.2500000000000011E-3</v>
      </c>
      <c r="E22" cm="1">
        <f t="array" ref="E22">_xll.BDP($N6,Q$4)</f>
        <v>12178</v>
      </c>
      <c r="F22" cm="1">
        <f t="array" ref="F22">_xll.BDP($N6,S$4)</f>
        <v>0.125</v>
      </c>
      <c r="G22" cm="1">
        <f t="array" ref="G22">_xll.BDP($N6,T$4)</f>
        <v>0.1275</v>
      </c>
      <c r="H22" s="2">
        <f t="shared" ref="H22:H32" ca="1" si="7">AD6</f>
        <v>-1.4445215814510988</v>
      </c>
      <c r="I22" s="2"/>
      <c r="J22" t="str" cm="1">
        <f t="array" ref="J22">_xll.BDP($A22,J$19)</f>
        <v>#N/A N/A</v>
      </c>
      <c r="K22" s="6" cm="1">
        <f t="array" ref="K22">_xll.BDP($A22,K$19)</f>
        <v>34587.949999999997</v>
      </c>
    </row>
    <row r="23" spans="1:55" x14ac:dyDescent="0.25">
      <c r="A23" t="str">
        <f t="shared" ref="A23:A32" si="8">B23&amp;" comdty"</f>
        <v>TKYERZ6 comdty</v>
      </c>
      <c r="B23" s="5" t="str">
        <f t="shared" si="6"/>
        <v>TKYERZ6</v>
      </c>
      <c r="C23" cm="1">
        <f t="array" ref="C23">_xll.BDP($N7,P$4)</f>
        <v>0.13500000000000001</v>
      </c>
      <c r="D23" s="3" cm="1">
        <f t="array" aca="1" ref="D23" ca="1">((F23+G23)/2) - (_xll.BDH($N7,$P$4,$N$19))</f>
        <v>1.2500000000000011E-3</v>
      </c>
      <c r="E23" cm="1">
        <f t="array" ref="E23">_xll.BDP($N7,Q$4)</f>
        <v>10678</v>
      </c>
      <c r="F23" cm="1">
        <f t="array" ref="F23">_xll.BDP($N7,S$4)</f>
        <v>0.13500000000000001</v>
      </c>
      <c r="G23" cm="1">
        <f t="array" ref="G23">_xll.BDP($N7,T$4)</f>
        <v>0.13750000000000001</v>
      </c>
      <c r="H23" s="2">
        <f t="shared" ca="1" si="7"/>
        <v>-1.7965914291162244</v>
      </c>
      <c r="I23" s="2"/>
      <c r="J23" cm="1">
        <f t="array" ref="J23">_xll.BDP(A23,J$19)</f>
        <v>-2.5000125169754028E-3</v>
      </c>
      <c r="K23" s="6" cm="1">
        <f t="array" ref="K23">_xll.BDP($A23,K$19)</f>
        <v>20500.7</v>
      </c>
    </row>
    <row r="24" spans="1:55" x14ac:dyDescent="0.25">
      <c r="A24" t="str">
        <f t="shared" si="8"/>
        <v>TKYERM7 comdty</v>
      </c>
      <c r="B24" s="5" t="str">
        <f t="shared" si="6"/>
        <v>TKYERM7</v>
      </c>
      <c r="C24" cm="1">
        <f t="array" ref="C24">_xll.BDP($N8,P$4)</f>
        <v>0.14000000000000001</v>
      </c>
      <c r="D24" s="3" cm="1">
        <f t="array" aca="1" ref="D24" ca="1">((F24+G24)/2) - (_xll.BDH($N8,$P$4,$N$19))</f>
        <v>1.2499999999999734E-3</v>
      </c>
      <c r="E24" cm="1">
        <f t="array" ref="E24">_xll.BDP($N8,Q$4)</f>
        <v>7893</v>
      </c>
      <c r="F24" cm="1">
        <f t="array" ref="F24">_xll.BDP($N8,S$4)</f>
        <v>0.14000000000000001</v>
      </c>
      <c r="G24" cm="1">
        <f t="array" ref="G24">_xll.BDP($N8,T$4)</f>
        <v>0.14249999999999999</v>
      </c>
      <c r="H24" s="2">
        <f t="shared" ca="1" si="7"/>
        <v>-1.50755672288882</v>
      </c>
      <c r="I24" s="2"/>
      <c r="J24" cm="1">
        <f t="array" ref="J24">_xll.BDP(A24,J$19)</f>
        <v>-2.499997615814209E-3</v>
      </c>
      <c r="K24" s="6" cm="1">
        <f t="array" ref="K24">_xll.BDP($A24,K$19)</f>
        <v>11266.65</v>
      </c>
    </row>
    <row r="25" spans="1:55" x14ac:dyDescent="0.25">
      <c r="A25" t="str">
        <f t="shared" si="8"/>
        <v>ERU7ERZ7 comdty</v>
      </c>
      <c r="B25" s="5" t="str">
        <f t="shared" si="6"/>
        <v>ERU7ERZ7</v>
      </c>
      <c r="C25" cm="1">
        <f t="array" ref="C25">_xll.BDP($N9,P$4)</f>
        <v>-1.4999999999999999E-2</v>
      </c>
      <c r="D25" s="3" cm="1">
        <f t="array" aca="1" ref="D25" ca="1">((F25+G25)/2) - (_xll.BDH($N9,$P$4,$N$19))</f>
        <v>-2.5000000000000022E-3</v>
      </c>
      <c r="E25" cm="1">
        <f t="array" ref="E25">_xll.BDP($N9,Q$4)</f>
        <v>6830</v>
      </c>
      <c r="F25" cm="1">
        <f t="array" ref="F25">_xll.BDP($N9,S$4)</f>
        <v>-0.02</v>
      </c>
      <c r="G25" cm="1">
        <f t="array" ref="G25">_xll.BDP($N9,T$4)</f>
        <v>-1.4999999999999999E-2</v>
      </c>
      <c r="H25" s="2">
        <f t="shared" ca="1" si="7"/>
        <v>1.5447401506267773</v>
      </c>
      <c r="I25" s="2"/>
      <c r="J25" cm="1">
        <f t="array" ref="J25">_xll.BDP(A25,J$19)</f>
        <v>-4.999999888241291E-3</v>
      </c>
      <c r="K25" s="6" cm="1">
        <f t="array" ref="K25">_xll.BDP($A25,K$19)</f>
        <v>20096.55</v>
      </c>
    </row>
    <row r="26" spans="1:55" x14ac:dyDescent="0.25">
      <c r="A26" t="str">
        <f t="shared" si="8"/>
        <v>TKYERU6 comdty</v>
      </c>
      <c r="B26" s="5" t="str">
        <f t="shared" si="6"/>
        <v>TKYERU6</v>
      </c>
      <c r="C26" cm="1">
        <f t="array" ref="C26">_xll.BDP($N10,P$4)</f>
        <v>0.13250000000000001</v>
      </c>
      <c r="D26" s="3" cm="1">
        <f t="array" aca="1" ref="D26" ca="1">((F26+G26)/2) - (_xll.BDH($N10,$P$4,$N$19))</f>
        <v>-1.2500000000000011E-3</v>
      </c>
      <c r="E26" cm="1">
        <f t="array" ref="E26">_xll.BDP($N10,Q$4)</f>
        <v>8273</v>
      </c>
      <c r="F26" cm="1">
        <f t="array" ref="F26">_xll.BDP($N10,S$4)</f>
        <v>0.13250000000000001</v>
      </c>
      <c r="G26" cm="1">
        <f t="array" ref="G26">_xll.BDP($N10,T$4)</f>
        <v>0.13500000000000001</v>
      </c>
      <c r="H26" s="2">
        <f t="shared" ca="1" si="7"/>
        <v>-1.3352645259872369</v>
      </c>
      <c r="I26" s="2"/>
      <c r="J26" cm="1">
        <f t="array" ref="J26">_xll.BDP(A26,J$19)</f>
        <v>-7.499992847442627E-3</v>
      </c>
      <c r="K26" s="6" cm="1">
        <f t="array" ref="K26">_xll.BDP($A26,K$19)</f>
        <v>20346.2</v>
      </c>
    </row>
    <row r="27" spans="1:55" x14ac:dyDescent="0.25">
      <c r="A27" t="str">
        <f t="shared" si="8"/>
        <v>TKYERU7 comdty</v>
      </c>
      <c r="B27" s="5" t="str">
        <f t="shared" si="6"/>
        <v>TKYERU7</v>
      </c>
      <c r="C27" cm="1">
        <f t="array" ref="C27">_xll.BDP($N11,P$4)</f>
        <v>0.14000000000000001</v>
      </c>
      <c r="D27" s="3" cm="1">
        <f t="array" aca="1" ref="D27" ca="1">((F27+G27)/2) - (_xll.BDH($N11,$P$4,$N$19))</f>
        <v>-1.2500000000000011E-3</v>
      </c>
      <c r="E27" cm="1">
        <f t="array" ref="E27">_xll.BDP($N11,Q$4)</f>
        <v>5059</v>
      </c>
      <c r="F27" cm="1">
        <f t="array" ref="F27">_xll.BDP($N11,S$4)</f>
        <v>0.14000000000000001</v>
      </c>
      <c r="G27" cm="1">
        <f t="array" ref="G27">_xll.BDP($N11,T$4)</f>
        <v>0.14249999999999999</v>
      </c>
      <c r="H27" s="2">
        <f t="shared" ca="1" si="7"/>
        <v>-1.9167454300136628</v>
      </c>
      <c r="I27" s="2"/>
      <c r="J27" cm="1">
        <f t="array" ref="J27">_xll.BDP(A27,J$19)</f>
        <v>0</v>
      </c>
      <c r="K27" s="6" cm="1">
        <f t="array" ref="K27">_xll.BDP($A27,K$19)</f>
        <v>9803.35</v>
      </c>
    </row>
    <row r="28" spans="1:55" x14ac:dyDescent="0.25">
      <c r="A28" t="str">
        <f t="shared" si="8"/>
        <v>ERM6ERU6 comdty</v>
      </c>
      <c r="B28" s="5" t="str">
        <f t="shared" si="6"/>
        <v>ERM6ERU6</v>
      </c>
      <c r="C28" cm="1">
        <f t="array" ref="C28">_xll.BDP($N12,P$4)</f>
        <v>0.185</v>
      </c>
      <c r="D28" s="3" cm="1">
        <f t="array" aca="1" ref="D28" ca="1">((F28+G28)/2) - (_xll.BDH($N12,$P$4,$N$19))</f>
        <v>1.7500000000000016E-2</v>
      </c>
      <c r="E28" cm="1">
        <f t="array" ref="E28">_xll.BDP($N12,Q$4)</f>
        <v>4862</v>
      </c>
      <c r="F28" cm="1">
        <f t="array" ref="F28">_xll.BDP($N12,S$4)</f>
        <v>0.19</v>
      </c>
      <c r="G28" cm="1">
        <f t="array" ref="G28">_xll.BDP($N12,T$4)</f>
        <v>0.19500000000000001</v>
      </c>
      <c r="H28" s="2">
        <f t="shared" ca="1" si="7"/>
        <v>-1.3251348221603623</v>
      </c>
      <c r="I28" s="2"/>
      <c r="J28" t="str" cm="1">
        <f t="array" ref="J28">_xll.BDP(A28,J$19)</f>
        <v>#N/A N/A</v>
      </c>
      <c r="K28" s="6" cm="1">
        <f t="array" ref="K28">_xll.BDP($A28,K$19)</f>
        <v>25796.95</v>
      </c>
    </row>
    <row r="29" spans="1:55" hidden="1" x14ac:dyDescent="0.25">
      <c r="A29" t="str">
        <f t="shared" si="8"/>
        <v>TKYERM8 comdty</v>
      </c>
      <c r="B29" s="5" t="str">
        <f t="shared" si="6"/>
        <v>TKYERM8</v>
      </c>
      <c r="C29" cm="1">
        <f t="array" ref="C29">_xll.BDP($N13,P$4)</f>
        <v>0.13500000000000001</v>
      </c>
      <c r="D29" s="3" cm="1">
        <f t="array" aca="1" ref="D29" ca="1">((F29+G29)/2) - (_xll.BDH($N13,$P$4,$N$19))</f>
        <v>1.2500000000000011E-3</v>
      </c>
      <c r="E29" cm="1">
        <f t="array" ref="E29">_xll.BDP($N13,Q$4)</f>
        <v>4307</v>
      </c>
      <c r="F29" cm="1">
        <f t="array" ref="F29">_xll.BDP($N13,S$4)</f>
        <v>0.13500000000000001</v>
      </c>
      <c r="G29" cm="1">
        <f t="array" ref="G29">_xll.BDP($N13,T$4)</f>
        <v>0.13750000000000001</v>
      </c>
      <c r="H29" s="2">
        <f t="shared" ca="1" si="7"/>
        <v>-1.8378003265209986</v>
      </c>
      <c r="I29" s="2"/>
      <c r="J29" cm="1">
        <f t="array" ref="J29">_xll.BDP(A29,J$19)</f>
        <v>2.499997615814209E-3</v>
      </c>
      <c r="K29" s="6" cm="1">
        <f t="array" ref="K29">_xll.BDP($A29,K$19)</f>
        <v>3378.3</v>
      </c>
    </row>
    <row r="30" spans="1:55" x14ac:dyDescent="0.25">
      <c r="A30" t="str">
        <f t="shared" si="8"/>
        <v>ERZ7ERM8 comdty</v>
      </c>
      <c r="B30" s="5" t="str">
        <f t="shared" si="6"/>
        <v>ERZ7ERM8</v>
      </c>
      <c r="C30" cm="1">
        <f t="array" ref="C30">_xll.BDP($N14,P$4)</f>
        <v>0.04</v>
      </c>
      <c r="D30" s="3" cm="1">
        <f t="array" aca="1" ref="D30" ca="1">((F30+G30)/2) - (_xll.BDH($N14,$P$4,$N$19))</f>
        <v>-7.4999999999999928E-3</v>
      </c>
      <c r="E30" cm="1">
        <f t="array" ref="E30">_xll.BDP($N14,Q$4)</f>
        <v>2770</v>
      </c>
      <c r="F30" cm="1">
        <f t="array" ref="F30">_xll.BDP($N14,S$4)</f>
        <v>3.5000000000000003E-2</v>
      </c>
      <c r="G30" cm="1">
        <f t="array" ref="G30">_xll.BDP($N14,T$4)</f>
        <v>0.04</v>
      </c>
      <c r="H30" s="2">
        <f t="shared" ca="1" si="7"/>
        <v>1.3487125424054465</v>
      </c>
      <c r="I30" s="2"/>
      <c r="J30" cm="1">
        <f t="array" ref="J30">_xll.BDP(A30,J$19)</f>
        <v>-4.4999998994171619E-2</v>
      </c>
      <c r="K30" s="6" cm="1">
        <f t="array" ref="K30">_xll.BDP($A30,K$19)</f>
        <v>13941.75</v>
      </c>
    </row>
    <row r="31" spans="1:55" hidden="1" x14ac:dyDescent="0.25">
      <c r="A31" t="str">
        <f t="shared" si="8"/>
        <v>TKYERH7 comdty</v>
      </c>
      <c r="B31" s="5" t="str">
        <f t="shared" si="6"/>
        <v>TKYERH7</v>
      </c>
      <c r="C31" cm="1">
        <f t="array" ref="C31">_xll.BDP($N15,P$4)</f>
        <v>0.13750000000000001</v>
      </c>
      <c r="D31" s="3" cm="1">
        <f t="array" aca="1" ref="D31" ca="1">((F31+G31)/2) - (_xll.BDH($N15,$P$4,$N$19))</f>
        <v>-1.2500000000000011E-3</v>
      </c>
      <c r="E31" cm="1">
        <f t="array" ref="E31">_xll.BDP($N15,Q$4)</f>
        <v>2899</v>
      </c>
      <c r="F31" cm="1">
        <f t="array" ref="F31">_xll.BDP($N15,S$4)</f>
        <v>0.13750000000000001</v>
      </c>
      <c r="G31" cm="1">
        <f t="array" ref="G31">_xll.BDP($N15,T$4)</f>
        <v>0.14000000000000001</v>
      </c>
      <c r="H31" s="2">
        <f t="shared" ca="1" si="7"/>
        <v>-2.1033506054943634</v>
      </c>
      <c r="I31" s="2"/>
      <c r="J31" cm="1">
        <f t="array" ref="J31">_xll.BDP(A31,J$19)</f>
        <v>-2.499997615814209E-3</v>
      </c>
      <c r="K31" s="6" cm="1">
        <f t="array" ref="K31">_xll.BDP($A31,K$19)</f>
        <v>13041.9</v>
      </c>
    </row>
    <row r="32" spans="1:55" x14ac:dyDescent="0.25">
      <c r="A32" t="str">
        <f t="shared" si="8"/>
        <v>ERH7ERH8 comdty</v>
      </c>
      <c r="B32" s="5" t="str">
        <f t="shared" si="6"/>
        <v>ERH7ERH8</v>
      </c>
      <c r="C32" cm="1">
        <f t="array" ref="C32">_xll.BDP($N16,P$4)</f>
        <v>-0.03</v>
      </c>
      <c r="D32" s="3" cm="1">
        <f t="array" aca="1" ref="D32" ca="1">((F32+G32)/2) - (_xll.BDH($N16,$P$4,$N$19))</f>
        <v>-7.4999999999999997E-3</v>
      </c>
      <c r="E32" cm="1">
        <f t="array" ref="E32">_xll.BDP($N16,Q$4)</f>
        <v>1416</v>
      </c>
      <c r="F32" cm="1">
        <f t="array" ref="F32">_xll.BDP($N16,S$4)</f>
        <v>-3.5000000000000003E-2</v>
      </c>
      <c r="G32" cm="1">
        <f t="array" ref="G32">_xll.BDP($N16,T$4)</f>
        <v>-0.03</v>
      </c>
      <c r="H32" s="2">
        <f t="shared" ca="1" si="7"/>
        <v>1.3950991911673594</v>
      </c>
      <c r="I32" s="2"/>
      <c r="J32" cm="1">
        <f t="array" ref="J32">_xll.BDP(A32,J$19)</f>
        <v>9.9999997764825821E-3</v>
      </c>
      <c r="K32" s="6" cm="1">
        <f t="array" ref="K32">_xll.BDP($A32,K$19)</f>
        <v>13076.75</v>
      </c>
    </row>
  </sheetData>
  <conditionalFormatting sqref="E22:E32">
    <cfRule type="colorScale" priority="2">
      <colorScale>
        <cfvo type="min"/>
        <cfvo type="max"/>
        <color rgb="FFFCFCFF"/>
        <color rgb="FF63BE7B"/>
      </colorScale>
    </cfRule>
  </conditionalFormatting>
  <conditionalFormatting sqref="H22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I32 X6:Z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ED1A4B99-24AB-49F7-863B-5CB8DE8540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'Fut Flow ER'!AI6:BC6</xm:f>
              <xm:sqref>I22</xm:sqref>
            </x14:sparkline>
            <x14:sparkline>
              <xm:f>'Fut Flow ER'!AI7:BC7</xm:f>
              <xm:sqref>I23</xm:sqref>
            </x14:sparkline>
            <x14:sparkline>
              <xm:f>'Fut Flow ER'!AI8:BC8</xm:f>
              <xm:sqref>I24</xm:sqref>
            </x14:sparkline>
            <x14:sparkline>
              <xm:f>'Fut Flow ER'!AI9:BC9</xm:f>
              <xm:sqref>I25</xm:sqref>
            </x14:sparkline>
            <x14:sparkline>
              <xm:f>'Fut Flow ER'!AI10:BC10</xm:f>
              <xm:sqref>I26</xm:sqref>
            </x14:sparkline>
            <x14:sparkline>
              <xm:f>'Fut Flow ER'!AI11:BC11</xm:f>
              <xm:sqref>I27</xm:sqref>
            </x14:sparkline>
            <x14:sparkline>
              <xm:f>'Fut Flow ER'!AI12:BC12</xm:f>
              <xm:sqref>I28</xm:sqref>
            </x14:sparkline>
            <x14:sparkline>
              <xm:f>'Fut Flow ER'!AI13:BC13</xm:f>
              <xm:sqref>I29</xm:sqref>
            </x14:sparkline>
            <x14:sparkline>
              <xm:f>'Fut Flow ER'!AI14:BC14</xm:f>
              <xm:sqref>I30</xm:sqref>
            </x14:sparkline>
            <x14:sparkline>
              <xm:f>'Fut Flow ER'!AI15:BC15</xm:f>
              <xm:sqref>I31</xm:sqref>
            </x14:sparkline>
            <x14:sparkline>
              <xm:f>'Fut Flow ER'!AI16:BC16</xm:f>
              <xm:sqref>I32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 Flow SFR</vt:lpstr>
      <vt:lpstr>Fut Flow SFI</vt:lpstr>
      <vt:lpstr>Fut Flow 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Speakman, David</dc:creator>
  <cp:keywords/>
  <dc:description/>
  <cp:lastModifiedBy>Speakman, David</cp:lastModifiedBy>
  <cp:revision/>
  <dcterms:created xsi:type="dcterms:W3CDTF">2024-08-21T11:50:31Z</dcterms:created>
  <dcterms:modified xsi:type="dcterms:W3CDTF">2026-04-21T11:20:04Z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edbe1-f62b-4f62-96b0-2c18948c8e42_Enabled">
    <vt:lpwstr>true</vt:lpwstr>
  </property>
  <property fmtid="{D5CDD505-2E9C-101B-9397-08002B2CF9AE}" pid="3" name="MSIP_Label_36bedbe1-f62b-4f62-96b0-2c18948c8e42_SetDate">
    <vt:lpwstr>2024-08-21T12:18:39Z</vt:lpwstr>
  </property>
  <property fmtid="{D5CDD505-2E9C-101B-9397-08002B2CF9AE}" pid="4" name="MSIP_Label_36bedbe1-f62b-4f62-96b0-2c18948c8e42_Method">
    <vt:lpwstr>Privileged</vt:lpwstr>
  </property>
  <property fmtid="{D5CDD505-2E9C-101B-9397-08002B2CF9AE}" pid="5" name="MSIP_Label_36bedbe1-f62b-4f62-96b0-2c18948c8e42_Name">
    <vt:lpwstr>36bedbe1-f62b-4f62-96b0-2c18948c8e42</vt:lpwstr>
  </property>
  <property fmtid="{D5CDD505-2E9C-101B-9397-08002B2CF9AE}" pid="6" name="MSIP_Label_36bedbe1-f62b-4f62-96b0-2c18948c8e42_SiteId">
    <vt:lpwstr>7bc8ad67-ee7f-43cb-8a42-1ada7dcc636e</vt:lpwstr>
  </property>
  <property fmtid="{D5CDD505-2E9C-101B-9397-08002B2CF9AE}" pid="7" name="MSIP_Label_36bedbe1-f62b-4f62-96b0-2c18948c8e42_ActionId">
    <vt:lpwstr>fe65d4cb-2f4c-4edf-a9ec-be1d5df8a0da</vt:lpwstr>
  </property>
  <property fmtid="{D5CDD505-2E9C-101B-9397-08002B2CF9AE}" pid="8" name="MSIP_Label_36bedbe1-f62b-4f62-96b0-2c18948c8e42_ContentBits">
    <vt:lpwstr>2</vt:lpwstr>
  </property>
</Properties>
</file>