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I" sheetId="3" r:id="rId3"/>
    <sheet name="ER" sheetId="4" r:id="rId4"/>
    <sheet name="IR" sheetId="5" r:id="rId5"/>
    <sheet name="COR" sheetId="6" r:id="rId6"/>
    <sheet name="SFR Top15" sheetId="7" r:id="rId7"/>
    <sheet name="SFI Top15" sheetId="8" r:id="rId8"/>
    <sheet name="ER Top15" sheetId="9" r:id="rId9"/>
    <sheet name="IR Top15" sheetId="10" r:id="rId10"/>
    <sheet name="COR Top15" sheetId="11" r:id="rId11"/>
    <sheet name="Notes" sheetId="12" r:id="rId12"/>
  </sheets>
  <definedNames>
    <definedName name="_xlnm._FilterDatabase" localSheetId="5" hidden="1">COR!$A$1:$J$165</definedName>
    <definedName name="_xlnm._FilterDatabase" localSheetId="3" hidden="1">ER!$A$1:$J$181</definedName>
    <definedName name="_xlnm._FilterDatabase" localSheetId="4" hidden="1">IR!$A$1:$J$165</definedName>
    <definedName name="_xlnm._FilterDatabase" localSheetId="2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<sst xmlns="http://schemas.openxmlformats.org/spreadsheetml/2006/main" count="9964" uniqueCount="1608">
  <si>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</si>
  <si>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</si>
  <si>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</si>
  <si>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</si>
  <si>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</si>
  <si>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</si>
  <si>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</si>
  <si>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</si>
  <si>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</si>
  <si>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</si>
  <si>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</si>
  <si>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</si>
  <si>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</si>
  <si>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</si>
  <si>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</si>
  <si>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</si>
  <si>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</si>
  <si>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</si>
  <si>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</si>
  <si>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</si>
  <si>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</si>
  <si>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</si>
  <si>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</si>
  <si>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</si>
  <si>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</si>
  <si>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</si>
  <si>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</si>
  <si>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</si>
  <si>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</si>
  <si>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</si>
  <si>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</si>
  <si>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</si>
  <si>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</si>
  <si>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</si>
  <si>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</si>
  <si>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</si>
  <si>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</si>
  <si>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</si>
  <si>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</si>
  <si>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</si>
  <si>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</si>
  <si>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</si>
  <si>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</si>
  <si>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</si>
  <si>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</si>
  <si>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</si>
  <si>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</si>
  <si>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</si>
  <si>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</si>
  <si>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</si>
  <si>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</si>
  <si>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</si>
  <si>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</si>
  <si>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</si>
  <si>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</si>
  <si>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</si>
  <si>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</si>
  <si>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</si>
  <si>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</si>
  <si>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</si>
  <si>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</si>
  <si>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</si>
  <si>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</si>
  <si>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</si>
  <si>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</si>
  <si>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</si>
  <si>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</si>
  <si>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</si>
  <si>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</si>
  <si>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</si>
  <si>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</si>
  <si>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</si>
  <si>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</si>
  <si>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</si>
  <si>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</si>
  <si>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</si>
  <si>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</si>
  <si>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</si>
  <si>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</si>
  <si>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</si>
  <si>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</si>
  <si>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</si>
  <si>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</si>
  <si>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</si>
  <si>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</si>
  <si>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</si>
  <si>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</si>
  <si>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</si>
  <si>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</si>
  <si>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</si>
  <si>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</si>
  <si>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</si>
  <si>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</si>
  <si>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</si>
  <si>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</si>
  <si>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</si>
  <si>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</si>
  <si>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</si>
  <si>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</si>
  <si>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</si>
  <si>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</si>
  <si>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</si>
  <si>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</si>
  <si>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</si>
  <si>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</si>
  <si>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</si>
  <si>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</si>
  <si>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</si>
  <si>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</si>
  <si>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</si>
  <si>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</si>
  <si>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</si>
  <si>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</si>
  <si>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</si>
  <si>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</si>
  <si>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</si>
  <si>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</si>
  <si>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</si>
  <si>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</si>
  <si>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</si>
  <si>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</si>
  <si>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</si>
  <si>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</si>
  <si>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</si>
  <si>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</si>
  <si>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</si>
  <si>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</si>
  <si>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</si>
  <si>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</si>
  <si>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</si>
  <si>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</si>
  <si>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</si>
  <si>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</si>
  <si>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</si>
  <si>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</si>
  <si>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</si>
  <si>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</si>
  <si>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</si>
  <si>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</si>
  <si>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</si>
  <si>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</si>
  <si>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</si>
  <si>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</si>
  <si>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</si>
  <si>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</si>
  <si>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</si>
  <si>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</si>
  <si>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</si>
  <si>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</si>
  <si>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</si>
  <si>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</si>
  <si>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</si>
  <si>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</si>
  <si>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</si>
  <si>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</si>
  <si>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</si>
  <si>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</si>
  <si>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</si>
  <si>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</si>
  <si>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</si>
  <si>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</si>
  <si>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</si>
  <si>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</si>
  <si>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</si>
  <si>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</si>
  <si>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</si>
  <si>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</si>
  <si>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</si>
  <si>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</si>
  <si>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</si>
  <si>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</si>
  <si>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</si>
  <si>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</si>
  <si>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</si>
  <si>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</si>
  <si>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</si>
  <si>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</si>
  <si>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</si>
  <si>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</si>
  <si>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</si>
  <si>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</si>
  <si>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</si>
  <si>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</si>
  <si>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</si>
  <si>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</si>
  <si>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</si>
  <si>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</si>
  <si>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</si>
  <si>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</si>
  <si>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</si>
  <si>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</si>
  <si>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</si>
  <si>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</si>
  <si>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</si>
  <si>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</si>
  <si>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</si>
  <si>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</si>
  <si>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</si>
  <si>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</si>
  <si>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</si>
  <si>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</si>
  <si>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</si>
  <si>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</si>
  <si>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</si>
  <si>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</si>
  <si>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</si>
  <si>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</si>
  <si>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</si>
  <si>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</si>
  <si>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</si>
  <si>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</si>
  <si>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</si>
  <si>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</si>
  <si>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</si>
  <si>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</si>
  <si>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</si>
  <si>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</si>
  <si>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</si>
  <si>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</si>
  <si>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</si>
  <si>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</si>
  <si>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</si>
  <si>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</si>
  <si>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</si>
  <si>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</si>
  <si>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</si>
  <si>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</si>
  <si>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</si>
  <si>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</si>
  <si>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</si>
  <si>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</si>
  <si>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</si>
  <si>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</si>
  <si>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</si>
  <si>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</si>
  <si>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</si>
  <si>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</si>
  <si>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</si>
  <si>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</si>
  <si>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</si>
  <si>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</si>
  <si>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</si>
  <si>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</si>
  <si>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</si>
  <si>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</si>
  <si>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</si>
  <si>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</si>
  <si>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</si>
  <si>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</si>
  <si>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</si>
  <si>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</si>
  <si>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</si>
  <si>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</si>
  <si>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</si>
  <si>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</si>
  <si>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</si>
  <si>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</si>
  <si>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</si>
  <si>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</si>
  <si>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</si>
  <si>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</si>
  <si>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</si>
  <si>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</si>
  <si>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</si>
  <si>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</si>
  <si>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</si>
  <si>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</si>
  <si>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</si>
  <si>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</si>
  <si>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</si>
  <si>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</si>
  <si>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</si>
  <si>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</si>
  <si>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</si>
  <si>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</si>
  <si>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</si>
  <si>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</si>
  <si>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</si>
  <si>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</si>
  <si>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</si>
  <si>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</si>
  <si>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</si>
  <si>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</si>
  <si>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</si>
  <si>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</si>
  <si>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</si>
  <si>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</si>
  <si>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</si>
  <si>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</si>
  <si>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</si>
  <si>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</si>
  <si>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</si>
  <si>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</si>
  <si>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</si>
  <si>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</si>
  <si>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</si>
  <si>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</si>
  <si>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</si>
  <si>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</si>
  <si>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</si>
  <si>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</si>
  <si>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</si>
  <si>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</si>
  <si>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</si>
  <si>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</si>
  <si>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</si>
  <si>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</si>
  <si>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</si>
  <si>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</si>
  <si>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</si>
  <si>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</si>
  <si>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</si>
  <si>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</si>
  <si>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</si>
  <si>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</si>
  <si>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</si>
  <si>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</si>
  <si>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</si>
  <si>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</si>
  <si>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</si>
  <si>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</si>
  <si>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</si>
  <si>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</si>
  <si>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</si>
  <si>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</si>
  <si>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</si>
  <si>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</si>
  <si>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</si>
  <si>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</si>
  <si>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</si>
  <si>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</si>
  <si>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</si>
  <si>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</si>
  <si>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</si>
  <si>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</si>
  <si>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</si>
  <si>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</si>
  <si>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</si>
  <si>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</si>
  <si>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</si>
  <si>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</si>
  <si>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</si>
  <si>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</si>
  <si>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</si>
  <si>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</si>
  <si>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</si>
  <si>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</si>
  <si>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</si>
  <si>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</si>
  <si>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</si>
  <si>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</si>
  <si>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</si>
  <si>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</si>
  <si>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</si>
  <si>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</si>
  <si>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</si>
  <si>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</si>
  <si>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</si>
  <si>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</si>
  <si>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</si>
  <si>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</si>
  <si>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</si>
  <si>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</si>
  <si>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</si>
  <si>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</si>
  <si>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</si>
  <si>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</si>
  <si>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</si>
  <si>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</si>
  <si>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</si>
  <si>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</si>
  <si>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</si>
  <si>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</si>
  <si>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</si>
  <si>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</si>
  <si>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</si>
  <si>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</si>
  <si>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</si>
  <si>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</si>
  <si>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</si>
  <si>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</si>
  <si>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</si>
  <si>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</si>
  <si>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</si>
  <si>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</si>
  <si>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</si>
  <si>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</si>
  <si>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</si>
  <si>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</si>
  <si>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</si>
  <si>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</si>
  <si>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</si>
  <si>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</si>
  <si>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</si>
  <si>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</si>
  <si>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</si>
  <si>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</si>
  <si>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</si>
  <si>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</si>
  <si>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</si>
  <si>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</si>
  <si>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</si>
  <si>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</si>
  <si>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</si>
  <si>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</si>
  <si>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</si>
  <si>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</si>
  <si>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</si>
  <si>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</si>
  <si>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</si>
  <si>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</si>
  <si>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</si>
  <si>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</si>
  <si>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</si>
  <si>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</si>
  <si>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</si>
  <si>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</si>
  <si>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</si>
  <si>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</si>
  <si>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</si>
  <si>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</si>
  <si>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</si>
  <si>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</si>
  <si>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</si>
  <si>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</si>
  <si>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</si>
  <si>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</si>
  <si>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</si>
  <si>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</si>
  <si>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</si>
  <si>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</si>
  <si>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</si>
  <si>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</si>
  <si>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</si>
  <si>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</si>
  <si>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</si>
  <si>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</si>
  <si>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</si>
  <si>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</si>
  <si>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</si>
  <si>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</si>
  <si>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</si>
  <si>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</si>
  <si>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</si>
  <si>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</si>
  <si>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</si>
  <si>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</si>
  <si>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</si>
  <si>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</si>
  <si>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</si>
  <si>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</si>
  <si>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</si>
  <si>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</si>
  <si>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</si>
  <si>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</si>
  <si>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</si>
  <si>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</si>
  <si>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</si>
  <si>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</si>
  <si>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</si>
  <si>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</si>
  <si>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</si>
  <si>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</si>
  <si>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</si>
  <si>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</si>
  <si>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</si>
  <si>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</si>
  <si>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</si>
  <si>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</si>
  <si>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</si>
  <si>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</si>
  <si>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</si>
  <si>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</si>
  <si>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</si>
  <si>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</si>
  <si>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</si>
  <si>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</si>
  <si>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</si>
  <si>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</si>
  <si>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</si>
  <si>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</si>
  <si>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</si>
  <si>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</si>
  <si>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</si>
  <si>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</si>
  <si>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</si>
  <si>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</si>
  <si>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</si>
  <si>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</si>
  <si>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</si>
  <si>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</si>
  <si>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</si>
  <si>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</si>
  <si>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</si>
  <si>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</si>
  <si>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</si>
  <si>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</si>
  <si>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</si>
  <si>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</si>
  <si>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</si>
  <si>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</si>
  <si>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</si>
  <si>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</si>
  <si>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</si>
  <si>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</si>
  <si>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</si>
  <si>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</si>
  <si>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</si>
  <si>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</si>
  <si>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</si>
  <si>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</si>
  <si>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</si>
  <si>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</si>
  <si>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</si>
  <si>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</si>
  <si>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</si>
  <si>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</si>
  <si>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</si>
  <si>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</si>
  <si>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</si>
  <si>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</si>
  <si>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</si>
  <si>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</si>
  <si>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</si>
  <si>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</si>
  <si>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</si>
  <si>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</si>
  <si>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</si>
  <si>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</si>
  <si>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</si>
  <si>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</si>
  <si>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</si>
  <si>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</si>
  <si>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</si>
  <si>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</si>
  <si>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</si>
  <si>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</si>
  <si>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</si>
  <si>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</si>
  <si>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</si>
  <si>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</si>
  <si>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</si>
  <si>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</si>
  <si>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</si>
  <si>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</si>
  <si>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</si>
  <si>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</si>
  <si>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</si>
  <si>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</si>
  <si>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</si>
  <si>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</si>
  <si>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</si>
  <si>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</si>
  <si>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</si>
  <si>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</si>
  <si>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</si>
  <si>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</si>
  <si>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</si>
  <si>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</si>
  <si>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</si>
  <si>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</si>
  <si>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</si>
  <si>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</si>
  <si>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</si>
  <si>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</si>
  <si>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</si>
  <si>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</si>
  <si>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</si>
  <si>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</si>
  <si>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</si>
  <si>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</si>
  <si>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</si>
  <si>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</si>
  <si>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</si>
  <si>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</si>
  <si>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</si>
  <si>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</si>
  <si>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</si>
  <si>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</si>
  <si>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</si>
  <si>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</si>
  <si>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</si>
  <si>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</si>
  <si>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</si>
  <si>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</si>
  <si>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</si>
  <si>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</si>
  <si>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</si>
  <si>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</si>
  <si>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</si>
  <si>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</si>
  <si>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</si>
  <si>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</si>
  <si>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</si>
  <si>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</si>
  <si>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</si>
  <si>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</si>
  <si>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</si>
  <si>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</si>
  <si>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</si>
  <si>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</si>
  <si>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</si>
  <si>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</si>
  <si>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</si>
  <si>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</si>
  <si>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</si>
  <si>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</si>
  <si>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</si>
  <si>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</si>
  <si>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</si>
  <si>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</si>
  <si>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</si>
  <si>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</si>
  <si>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</si>
  <si>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</si>
  <si>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</si>
  <si>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</si>
  <si>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</si>
  <si>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</si>
  <si>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</si>
  <si>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</si>
  <si>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</si>
  <si>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</si>
  <si>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</si>
  <si>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</si>
  <si>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</si>
  <si>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</si>
  <si>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</si>
  <si>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</si>
  <si>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</si>
  <si>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</si>
  <si>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</si>
  <si>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</si>
  <si>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</si>
  <si>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</si>
  <si>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</si>
  <si>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</si>
  <si>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</si>
  <si>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</si>
  <si>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</si>
  <si>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</si>
  <si>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</si>
  <si>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</si>
  <si>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</si>
  <si>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</si>
  <si>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</si>
  <si>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</si>
  <si>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</si>
  <si>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</si>
  <si>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</si>
  <si>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</si>
  <si>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</si>
  <si>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</si>
  <si>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</si>
  <si>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</si>
  <si>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</si>
  <si>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</si>
  <si>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</si>
  <si>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</si>
  <si>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</si>
  <si>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</si>
  <si>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</si>
  <si>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</si>
  <si>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</si>
  <si>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</si>
  <si>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</si>
  <si>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</si>
  <si>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</si>
  <si>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</si>
  <si>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</si>
  <si>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</si>
  <si>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</si>
  <si>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</si>
  <si>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</si>
  <si>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</si>
  <si>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</si>
  <si>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</si>
  <si>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</si>
  <si>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</si>
  <si>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</si>
  <si>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</si>
  <si>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</si>
  <si>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</si>
  <si>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</si>
  <si>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</si>
  <si>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</si>
  <si>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</si>
  <si>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</si>
  <si>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</si>
  <si>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</si>
  <si>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</si>
  <si>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</si>
  <si>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</si>
  <si>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</si>
  <si>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</si>
  <si>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</si>
  <si>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</si>
  <si>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</si>
  <si>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</si>
  <si>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</si>
  <si>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</si>
  <si>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</si>
  <si>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</si>
  <si>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</si>
  <si>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</si>
  <si>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</si>
  <si>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</si>
  <si>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</si>
  <si>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</si>
  <si>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</si>
  <si>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</si>
  <si>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</si>
  <si>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</si>
  <si>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</si>
  <si>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</si>
  <si>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</si>
  <si>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</si>
  <si>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</si>
  <si>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</si>
  <si>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</si>
  <si>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</si>
  <si>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</si>
  <si>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</si>
  <si>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</si>
  <si>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</si>
  <si>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</si>
  <si>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</si>
  <si>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</si>
  <si>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</si>
  <si>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</si>
  <si>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</si>
  <si>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</si>
  <si>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</si>
  <si>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</si>
  <si>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</si>
  <si>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</si>
  <si>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</si>
  <si>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</si>
  <si>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</si>
  <si>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</si>
  <si>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</si>
  <si>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</si>
  <si>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</si>
  <si>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</si>
  <si>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</si>
  <si>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</si>
  <si>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</si>
  <si>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</si>
  <si>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</si>
  <si>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</si>
  <si>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</si>
  <si>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</si>
  <si>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</si>
  <si>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</si>
  <si>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</si>
  <si>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</si>
  <si>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</si>
  <si>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</si>
  <si>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</si>
  <si>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</si>
  <si>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</si>
  <si>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</si>
  <si>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</si>
  <si>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</si>
  <si>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</si>
  <si>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</si>
  <si>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</si>
  <si>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</si>
  <si>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</si>
  <si>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</si>
  <si>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</si>
  <si>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</si>
  <si>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</si>
  <si>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</si>
  <si>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</si>
  <si>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</si>
  <si>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</si>
  <si>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</si>
  <si>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</si>
  <si>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</si>
  <si>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</si>
  <si>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</si>
  <si>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</si>
  <si>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</si>
  <si>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</si>
  <si>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</si>
  <si>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</si>
  <si>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</si>
  <si>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</si>
  <si>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</si>
  <si>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</si>
  <si>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</si>
  <si>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</si>
  <si>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</si>
  <si>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</si>
  <si>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</si>
  <si>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</si>
  <si>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</si>
  <si>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</si>
  <si>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</si>
  <si>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</si>
  <si>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</si>
  <si>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</si>
  <si>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</si>
  <si>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</si>
  <si>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</si>
  <si>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</si>
  <si>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</si>
  <si>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</si>
  <si>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</si>
  <si>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</si>
  <si>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</si>
  <si>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</si>
  <si>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</si>
  <si>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</si>
  <si>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</si>
  <si>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</si>
  <si>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</si>
  <si>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</si>
  <si>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</si>
  <si>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</si>
  <si>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</si>
  <si>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</si>
  <si>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</si>
  <si>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</si>
  <si>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</si>
  <si>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</si>
  <si>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</si>
  <si>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</si>
  <si>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</si>
  <si>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</si>
  <si>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</si>
  <si>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</si>
  <si>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</si>
  <si>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</si>
  <si>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</si>
  <si>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</si>
  <si>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</si>
  <si>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</si>
  <si>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</si>
  <si>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</si>
  <si>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</si>
  <si>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</si>
  <si>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</si>
  <si>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</si>
  <si>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</si>
  <si>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</si>
  <si>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</si>
  <si>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</si>
  <si>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</si>
  <si>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</si>
  <si>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</si>
  <si>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</si>
  <si>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</si>
  <si>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</si>
  <si>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</si>
  <si>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</si>
  <si>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</si>
  <si>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</si>
  <si>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</si>
  <si>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</si>
  <si>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</si>
  <si>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</si>
  <si>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</si>
  <si>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</si>
  <si>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</si>
  <si>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</si>
  <si>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</si>
  <si>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</si>
  <si>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</si>
  <si>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</si>
  <si>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</si>
  <si>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</si>
  <si>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</si>
  <si>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</si>
  <si>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</si>
  <si>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</si>
  <si>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</si>
  <si>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</si>
  <si>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</si>
  <si>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</si>
  <si>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</si>
  <si>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</si>
  <si>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</si>
  <si>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</si>
  <si>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</si>
  <si>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</si>
  <si>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</si>
  <si>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</si>
  <si>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</si>
  <si>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</si>
  <si>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</si>
  <si>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</si>
  <si>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</si>
  <si>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</si>
  <si>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</si>
  <si>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</si>
  <si>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</si>
  <si>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</si>
  <si>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</si>
  <si>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</si>
  <si>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</si>
  <si>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</si>
  <si>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</si>
  <si>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</si>
  <si>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</si>
  <si>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</si>
  <si>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</si>
  <si>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</si>
  <si>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</si>
  <si>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</si>
  <si>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</si>
  <si>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</si>
  <si>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</si>
  <si>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</si>
  <si>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</si>
  <si>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</si>
  <si>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</si>
  <si>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</si>
  <si>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</si>
  <si>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</si>
  <si>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</si>
  <si>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</si>
  <si>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</si>
  <si>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</si>
  <si>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</si>
  <si>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</si>
  <si>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</si>
  <si>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</si>
  <si>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</si>
  <si>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</si>
  <si>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</si>
  <si>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</si>
  <si>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</si>
  <si>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</si>
  <si>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</si>
  <si>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</si>
  <si>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</si>
  <si>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</si>
  <si>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</si>
  <si>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</si>
  <si>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</si>
  <si>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</si>
  <si>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</si>
  <si>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</si>
  <si>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</si>
  <si>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</si>
  <si>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</si>
  <si>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</si>
  <si>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</si>
  <si>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</si>
  <si>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</si>
  <si>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</si>
  <si>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</si>
  <si>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</si>
  <si>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</si>
  <si>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</si>
  <si>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</si>
  <si>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</si>
  <si>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</si>
  <si>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</si>
  <si>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</si>
  <si>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</si>
  <si>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</si>
  <si>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</si>
  <si>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</si>
  <si>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</si>
  <si>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</si>
  <si>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</si>
  <si>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</si>
  <si>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</si>
  <si>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</si>
  <si>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</si>
  <si>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</si>
  <si>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</si>
  <si>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</si>
  <si>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</si>
  <si>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</si>
  <si>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</si>
  <si>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</si>
  <si>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</si>
  <si>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</si>
  <si>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</si>
  <si>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</si>
  <si>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</si>
  <si>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</si>
  <si>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</si>
  <si>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</si>
  <si>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</si>
  <si>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</si>
  <si>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</si>
  <si>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</si>
  <si>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</si>
  <si>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</si>
  <si>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</si>
  <si>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</si>
  <si>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</si>
  <si>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</si>
  <si>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</si>
  <si>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</si>
  <si>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</si>
  <si>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</si>
  <si>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</si>
  <si>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</si>
  <si>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</si>
  <si>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</si>
  <si>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</si>
  <si>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</si>
  <si>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</si>
  <si>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</si>
  <si>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</si>
  <si>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</si>
  <si>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</si>
  <si>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</si>
  <si>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</si>
  <si>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</si>
  <si>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</si>
  <si>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</si>
  <si>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</si>
  <si>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</si>
  <si>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</si>
  <si>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</si>
  <si>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</si>
  <si>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</si>
  <si>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</si>
  <si>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</si>
  <si>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</si>
  <si>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</si>
  <si>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</si>
  <si>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</si>
  <si>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</si>
  <si>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</si>
  <si>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</si>
  <si>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</si>
  <si>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</si>
  <si>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</si>
  <si>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</si>
  <si>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</si>
  <si>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</si>
  <si>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</si>
  <si>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</si>
  <si>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</si>
  <si>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</si>
  <si>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</si>
  <si>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</si>
  <si>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</si>
  <si>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</si>
  <si>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</si>
  <si>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</si>
  <si>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</si>
  <si>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</si>
  <si>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</si>
  <si>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</si>
  <si>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</si>
  <si>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</si>
  <si>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</si>
  <si>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</si>
  <si>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</si>
  <si>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</si>
  <si>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</si>
  <si>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</si>
  <si>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</si>
  <si>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</si>
  <si>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</si>
  <si>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</si>
  <si>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</si>
  <si>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</si>
  <si>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</si>
  <si>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</si>
  <si>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</si>
  <si>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</si>
  <si>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</si>
  <si>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</si>
  <si>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</si>
  <si>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</si>
  <si>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</si>
  <si>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</si>
  <si>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</si>
  <si>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</si>
  <si>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</si>
  <si>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</si>
  <si>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</si>
  <si>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</si>
  <si>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</si>
  <si>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</si>
  <si>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</si>
  <si>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</si>
  <si>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</si>
  <si>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</si>
  <si>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</si>
  <si>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</si>
  <si>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</si>
  <si>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</si>
  <si>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</si>
  <si>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</si>
  <si>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</si>
  <si>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</si>
  <si>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</si>
  <si>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</si>
  <si>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</si>
  <si>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</si>
  <si>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</si>
  <si>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</si>
  <si>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</si>
  <si>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</si>
  <si>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</si>
  <si>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</si>
  <si>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</si>
  <si>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</si>
  <si>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</si>
  <si>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</si>
  <si>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</si>
  <si>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</si>
  <si>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</si>
  <si>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</si>
  <si>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</si>
  <si>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</si>
  <si>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</si>
  <si>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</si>
  <si>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</si>
  <si>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</si>
  <si>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</si>
  <si>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</si>
  <si>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</si>
  <si>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</si>
  <si>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</si>
  <si>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</si>
  <si>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</si>
  <si>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</si>
  <si>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</si>
  <si>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</si>
  <si>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</si>
  <si>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</si>
  <si>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</si>
  <si>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</si>
  <si>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</si>
  <si>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</si>
  <si>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</si>
  <si>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</si>
  <si>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</si>
  <si>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</si>
  <si>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</si>
  <si>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</si>
  <si>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</si>
  <si>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</si>
  <si>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</si>
  <si>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</si>
  <si>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</si>
  <si>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</si>
  <si>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</si>
  <si>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</si>
  <si>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</si>
  <si>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</si>
  <si>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</si>
  <si>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</si>
  <si>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</si>
  <si>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</si>
  <si>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</si>
  <si>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</si>
  <si>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</si>
  <si>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</si>
  <si>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</si>
  <si>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</si>
  <si>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</si>
  <si>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</si>
  <si>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</si>
  <si>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</si>
  <si>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</si>
  <si>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</si>
  <si>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</si>
  <si>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</si>
  <si>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</si>
  <si>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</si>
  <si>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</si>
  <si>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</si>
  <si>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</si>
  <si>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</si>
  <si>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</si>
  <si>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</si>
  <si>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</si>
  <si>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</si>
  <si>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</si>
  <si>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</si>
  <si>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</si>
  <si>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</si>
  <si>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</si>
  <si>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</si>
  <si>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</si>
  <si>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</si>
  <si>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</si>
  <si>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</si>
  <si>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</si>
  <si>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</si>
  <si>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</si>
  <si>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</si>
  <si>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</si>
  <si>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</si>
  <si>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</si>
  <si>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</si>
  <si>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</si>
  <si>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</si>
  <si>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</si>
  <si>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</si>
  <si>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</si>
  <si>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</si>
  <si>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</si>
  <si>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</si>
  <si>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</si>
  <si>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</si>
  <si>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</si>
  <si>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</si>
  <si>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</si>
  <si>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</si>
  <si>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</si>
  <si>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</si>
  <si>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</si>
  <si>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</si>
  <si>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</si>
  <si>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</si>
  <si>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</si>
  <si>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</si>
  <si>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</si>
  <si>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</si>
  <si>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</si>
  <si>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</si>
  <si>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</si>
  <si>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</si>
  <si>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</si>
  <si>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</si>
  <si>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</si>
  <si>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</si>
  <si>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</si>
  <si>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</si>
  <si>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</si>
  <si>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</si>
  <si>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</si>
  <si>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</si>
  <si>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</si>
  <si>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</si>
  <si>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</si>
  <si>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</si>
  <si>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</si>
  <si>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</si>
  <si>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</si>
  <si>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</si>
  <si>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</si>
  <si>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</si>
  <si>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</si>
  <si>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</si>
  <si>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</si>
  <si>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</si>
  <si>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</si>
  <si>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</si>
  <si>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</si>
  <si>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</si>
  <si>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</si>
  <si>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</si>
  <si>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</si>
  <si>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</si>
  <si>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</si>
  <si>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</si>
  <si>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</si>
  <si>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</si>
  <si>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</si>
  <si>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</si>
  <si>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</si>
  <si>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</si>
  <si>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</si>
  <si>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</si>
  <si>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</si>
  <si>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</si>
  <si>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</si>
  <si>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</si>
  <si>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</si>
  <si>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</si>
  <si>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</si>
  <si>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</si>
  <si>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</si>
  <si>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</si>
  <si>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</si>
  <si>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</si>
  <si>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</si>
  <si>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</si>
  <si>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</si>
  <si>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</si>
  <si>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</si>
  <si>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</si>
  <si>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</si>
  <si>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</si>
  <si>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</si>
  <si>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</si>
  <si>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</si>
  <si>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</si>
  <si>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</si>
  <si>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</si>
  <si>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</si>
  <si>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</si>
  <si>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</si>
  <si>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</si>
  <si>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</si>
  <si>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</si>
  <si>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</si>
  <si>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</si>
  <si>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</si>
  <si>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</si>
  <si>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</si>
  <si>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</si>
  <si>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</si>
  <si>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</si>
  <si>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</si>
  <si>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</si>
  <si>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</si>
  <si>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</si>
  <si>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</si>
  <si>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</si>
  <si>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</si>
  <si>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</si>
  <si>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</si>
  <si>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</si>
  <si>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</si>
  <si>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</si>
  <si>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</si>
  <si>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</si>
  <si>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</si>
  <si>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</si>
  <si>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</si>
  <si>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</si>
  <si>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</si>
  <si>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</si>
  <si>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</si>
  <si>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</si>
  <si>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</si>
  <si>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</si>
  <si>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</si>
  <si>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</si>
  <si>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</si>
  <si>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</si>
  <si>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</si>
  <si>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</si>
  <si>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</si>
  <si>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</si>
  <si>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</si>
  <si>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</si>
  <si>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</si>
  <si>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</si>
  <si>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</si>
  <si>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</si>
  <si>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</si>
  <si>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</si>
  <si>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</si>
  <si>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</si>
  <si>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</si>
  <si>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</si>
  <si>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</si>
  <si>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</si>
  <si>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</si>
  <si>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</si>
  <si>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</si>
  <si>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</si>
  <si>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</si>
  <si>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</si>
  <si>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</si>
  <si>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</si>
  <si>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</si>
  <si>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</si>
  <si>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</si>
  <si>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</si>
  <si>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</si>
  <si>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</si>
  <si>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</si>
  <si>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</si>
  <si>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</si>
  <si>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</si>
  <si>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</si>
  <si>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</si>
  <si>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</si>
  <si>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</si>
  <si>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</si>
  <si>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</si>
  <si>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</si>
  <si>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</si>
  <si>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</si>
  <si>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</si>
  <si>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</si>
  <si>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</si>
  <si>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</si>
  <si>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</si>
  <si>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</si>
  <si>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</si>
  <si>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</si>
  <si>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</si>
  <si>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</si>
  <si>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</si>
  <si>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</si>
  <si>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</si>
  <si>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</si>
  <si>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</si>
  <si>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</si>
  <si>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</si>
  <si>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</si>
  <si>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</si>
  <si>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</si>
  <si>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</si>
  <si>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</si>
  <si>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</si>
  <si>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</si>
  <si>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</si>
  <si>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</si>
  <si>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</si>
  <si>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</si>
  <si>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</si>
  <si>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</si>
  <si>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</si>
  <si>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</si>
  <si>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</si>
  <si>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</si>
  <si>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</si>
  <si>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</si>
  <si>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</si>
  <si>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</si>
  <si>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</si>
  <si>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</si>
  <si>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</si>
  <si>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</si>
  <si>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</si>
  <si>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</si>
  <si>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</si>
  <si>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</si>
  <si>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</si>
  <si>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</si>
  <si>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</si>
  <si>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</si>
  <si>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</si>
  <si>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</si>
  <si>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</si>
  <si>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</si>
  <si>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</si>
  <si>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</si>
  <si>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</si>
  <si>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</si>
  <si>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</si>
  <si>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</si>
  <si>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</si>
  <si>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</si>
  <si>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</si>
  <si>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</si>
  <si>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</si>
  <si>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</si>
  <si>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</si>
  <si>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</si>
  <si>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</si>
  <si>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</si>
  <si>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</si>
  <si>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</si>
  <si>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</si>
  <si>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</si>
  <si>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</si>
  <si>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</si>
  <si>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</si>
  <si>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</si>
  <si>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</si>
  <si>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</si>
  <si>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</si>
  <si>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</si>
  <si>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</si>
  <si>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</si>
  <si>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</si>
  <si>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</si>
  <si>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</si>
  <si>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</si>
  <si>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</si>
  <si>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</si>
  <si>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</si>
  <si>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</si>
  <si>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</si>
  <si>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</si>
  <si>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</si>
  <si>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</si>
  <si>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</si>
  <si>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</si>
  <si>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</si>
  <si>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</si>
  <si>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</si>
  <si>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</si>
  <si>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</si>
  <si>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</si>
  <si>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</si>
  <si>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</si>
  <si>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</si>
  <si>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</si>
  <si>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</si>
  <si>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</si>
  <si>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</si>
  <si>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</si>
  <si>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</si>
  <si>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</si>
  <si>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</si>
  <si>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</si>
  <si>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</si>
  <si>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</si>
  <si>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</si>
  <si>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</si>
  <si>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</si>
  <si>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</si>
  <si>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</si>
  <si>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</si>
  <si>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</si>
  <si>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</si>
  <si>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</si>
  <si>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</si>
  <si>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</si>
  <si>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</si>
  <si>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</si>
  <si>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</si>
  <si>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</si>
  <si>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</si>
  <si>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</si>
  <si>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</si>
  <si>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</si>
  <si>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</si>
  <si>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</si>
  <si>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</si>
  <si>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</si>
  <si>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</si>
  <si>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</si>
  <si>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</si>
  <si>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</si>
  <si>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</si>
  <si>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</si>
  <si>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</si>
  <si>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</si>
  <si>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</si>
  <si>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</si>
  <si>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</si>
  <si>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</si>
  <si>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</si>
  <si>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</si>
  <si>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</si>
  <si>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</si>
  <si>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</si>
  <si>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</si>
  <si>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</si>
  <si>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</si>
  <si>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</si>
  <si>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</si>
  <si>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</si>
  <si>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</si>
  <si>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</si>
  <si>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</si>
  <si>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15)  |  Sort [SFR] col G descending to rank by volume</t>
  </si>
  <si>
    <t>Bloomberg
Ticker</t>
  </si>
  <si>
    <t>BidVol</t>
  </si>
  <si>
    <t>AskVol</t>
  </si>
  <si>
    <t>CumVol</t>
  </si>
  <si>
    <t>Last
Price</t>
  </si>
  <si>
    <t>Trade Time</t>
  </si>
  <si>
    <t>Strategy
Type</t>
  </si>
  <si>
    <t>Av.
20d</t>
  </si>
  <si>
    <t>StDev
20d</t>
  </si>
  <si>
    <t>ZScore
20d</t>
  </si>
  <si>
    <t>SFR — 20d Sparkline</t>
  </si>
  <si>
    <t>Sort [SFR] tab by Volume (col G) descending, then press F9 to refresh Bloomberg.</t>
  </si>
  <si>
    <t>SFI — Most Traded (Top 15)  |  Sort [SFI] col G descending to rank by volume</t>
  </si>
  <si>
    <t>SFI — 20d Sparkline</t>
  </si>
  <si>
    <t>Sort [SFI] tab by Volume (col G) descending, then press F9 to refresh Bloomberg.</t>
  </si>
  <si>
    <t>ER — Most Traded (Top 15)  |  Sort [ER] col G descending to rank by volume</t>
  </si>
  <si>
    <t>ER — 20d Sparkline</t>
  </si>
  <si>
    <t>Sort [ER] tab by Volume (col G) descending, then press F9 to refresh Bloomberg.</t>
  </si>
  <si>
    <t>IR — Most Traded (Top 15)  |  Sort [IR] col G descending to rank by volume</t>
  </si>
  <si>
    <t>IR — 20d Sparkline</t>
  </si>
  <si>
    <t>Sort [IR] tab by Volume (col G) descending, then press F9 to refresh Bloomberg.</t>
  </si>
  <si>
    <t>COR — Most Traded (Top 15)  |  Sort [COR] col G descending to rank by volume</t>
  </si>
  <si>
    <t>COR — 20d Sparkline</t>
  </si>
  <si>
    <t>Sort [COR] tab by Volume (col G) descending, then press F9 to refresh Bloomberg.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</si>
  <si>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</si>
  <si>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</si>
  <si>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</si>
  <si>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</si>
  <si>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</si>
  <si>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</si>
  <si>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</si>
  <si>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</si>
  <si>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</si>
  <si>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</si>
  <si>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</si>
  <si>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</si>
  <si>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</si>
  <si>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</si>
  <si>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Top15     — Most traded SOFR structures with sparklines + z-scores.</t>
  </si>
  <si>
    <t>SFI Top15     — Most traded SONIA structures with sparklines + z-scores.</t>
  </si>
  <si>
    <t>ER Top15      — Most traded Euribor structures with sparklines + z-scores.</t>
  </si>
  <si>
    <t>IR Top15      — Most traded AUD Bank Bill structures with sparklines + z-scores.</t>
  </si>
  <si>
    <t>COR Top15     — Most traded CORRA structures with sparklines + z-scores.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</si>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</sst>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dd-mmm"/>
    <numFmt numFmtId="166" formatCode="0.000"/>
    <numFmt numFmtId="167" formatCode="0.0000"/>
    <numFmt numFmtId="168" formatCode="0.00"/>
  </numFmts>
  <fonts count="16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1F497D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AAAAAA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974706"/>
      <name val="Calibri"/>
      <family val="2"/>
      <scheme val="minor"/>
    </font>
    <font>
      <b/>
      <sz val="9"/>
      <color rgb="FF375623"/>
      <name val="Calibri"/>
      <family val="2"/>
      <scheme val="minor"/>
    </font>
    <font>
      <b/>
      <sz val="9"/>
      <color rgb="FF5B0A9F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5F5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4" fillId="1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right" vertical="center"/>
    </xf>
    <xf numFmtId="166" fontId="7" fillId="3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167" fontId="6" fillId="13" borderId="1" xfId="0" applyNumberFormat="1" applyFont="1" applyFill="1" applyBorder="1" applyAlignment="1">
      <alignment horizontal="right" vertical="center"/>
    </xf>
    <xf numFmtId="168" fontId="6" fillId="13" borderId="1" xfId="0" applyNumberFormat="1" applyFont="1" applyFill="1" applyBorder="1" applyAlignment="1">
      <alignment horizontal="right" vertical="center"/>
    </xf>
    <xf numFmtId="166" fontId="8" fillId="14" borderId="0" xfId="0" applyNumberFormat="1" applyFont="1" applyFill="1" applyAlignment="1">
      <alignment horizontal="right" vertical="center"/>
    </xf>
    <xf numFmtId="0" fontId="9" fillId="0" borderId="0" xfId="0" applyFont="1"/>
    <xf numFmtId="0" fontId="2" fillId="8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7" fillId="5" borderId="1" xfId="0" applyNumberFormat="1" applyFont="1" applyFill="1" applyBorder="1" applyAlignment="1">
      <alignment horizontal="right" vertical="center"/>
    </xf>
    <xf numFmtId="166" fontId="7" fillId="5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164" fontId="7" fillId="6" borderId="1" xfId="0" applyNumberFormat="1" applyFont="1" applyFill="1" applyBorder="1" applyAlignment="1">
      <alignment horizontal="right" vertical="center"/>
    </xf>
    <xf numFmtId="166" fontId="7" fillId="6" borderId="1" xfId="0" applyNumberFormat="1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1" fillId="11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164" fontId="7" fillId="7" borderId="1" xfId="0" applyNumberFormat="1" applyFont="1" applyFill="1" applyBorder="1" applyAlignment="1">
      <alignment horizontal="right" vertical="center"/>
    </xf>
    <xf numFmtId="166" fontId="7" fillId="7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center" vertical="center"/>
    </xf>
    <xf numFmtId="0" fontId="14" fillId="0" borderId="0" xfId="0" applyFont="1"/>
    <xf numFmtId="0" fontId="7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C22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2" width="0" customWidth="1"/>
    <col min="3" max="3" width="24.7109375" customWidth="1"/>
    <col min="4" max="4" width="38.7109375" customWidth="1"/>
    <col min="5" max="5" width="10.7109375" customWidth="1"/>
    <col min="6" max="7" width="9.7109375" customWidth="1"/>
    <col min="8" max="8" width="10.7109375" customWidth="1"/>
    <col min="9" max="9" width="12.7109375" customWidth="1"/>
    <col min="10" max="10" width="11.7109375" customWidth="1"/>
    <col min="11" max="11" width="26.7109375" customWidth="1"/>
    <col min="12" max="12" width="14.7109375" customWidth="1"/>
    <col min="29" max="30" width="11.7109375" customWidth="1"/>
    <col min="31" max="31" width="10.7109375" customWidth="1"/>
    <col min="32" max="32" width="18.7109375" customWidth="1"/>
    <col min="33" max="55" width="7.7109375" customWidth="1"/>
  </cols>
  <sheetData>
    <row r="1" spans="1:55" ht="26" customHeight="1">
      <c r="A1" s="16" t="s">
        <v>1549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</row>
    <row r="2" spans="1:55" ht="5" customHeight="1"/>
    <row r="3" spans="1:55" ht="5" customHeight="1"/>
    <row r="4" spans="1:55" ht="5" customHeight="1"/>
    <row r="5" spans="1:55" ht="30" customHeight="1">
      <c r="C5" s="17" t="s">
        <v>1550</v>
      </c>
      <c r="D5" s="17" t="s">
        <v>2</v>
      </c>
      <c r="E5" s="17" t="s">
        <v>1551</v>
      </c>
      <c r="F5" s="17" t="s">
        <v>7</v>
      </c>
      <c r="G5" s="17" t="s">
        <v>8</v>
      </c>
      <c r="H5" s="17" t="s">
        <v>1552</v>
      </c>
      <c r="I5" s="17" t="s">
        <v>1553</v>
      </c>
      <c r="J5" s="17" t="s">
        <v>1554</v>
      </c>
      <c r="K5" s="17" t="s">
        <v>1555</v>
      </c>
      <c r="L5" s="17" t="s">
        <v>1556</v>
      </c>
      <c r="AC5" s="18" t="s">
        <v>1557</v>
      </c>
      <c r="AD5" s="18" t="s">
        <v>1558</v>
      </c>
      <c r="AE5" s="18" t="s">
        <v>1559</v>
      </c>
      <c r="AF5" s="18" t="s">
        <v>1560</v>
      </c>
      <c r="AG5" s="19">
        <f>WORKDAY(TODAY(),-23)</f>
        <v>0</v>
      </c>
      <c r="AH5" s="19">
        <f>WORKDAY(TODAY(),-22)</f>
        <v>0</v>
      </c>
      <c r="AI5" s="19">
        <f>WORKDAY(TODAY(),-21)</f>
        <v>0</v>
      </c>
      <c r="AJ5" s="19">
        <f>WORKDAY(TODAY(),-20)</f>
        <v>0</v>
      </c>
      <c r="AK5" s="19">
        <f>WORKDAY(TODAY(),-19)</f>
        <v>0</v>
      </c>
      <c r="AL5" s="19">
        <f>WORKDAY(TODAY(),-18)</f>
        <v>0</v>
      </c>
      <c r="AM5" s="19">
        <f>WORKDAY(TODAY(),-17)</f>
        <v>0</v>
      </c>
      <c r="AN5" s="19">
        <f>WORKDAY(TODAY(),-16)</f>
        <v>0</v>
      </c>
      <c r="AO5" s="19">
        <f>WORKDAY(TODAY(),-15)</f>
        <v>0</v>
      </c>
      <c r="AP5" s="19">
        <f>WORKDAY(TODAY(),-14)</f>
        <v>0</v>
      </c>
      <c r="AQ5" s="19">
        <f>WORKDAY(TODAY(),-13)</f>
        <v>0</v>
      </c>
      <c r="AR5" s="19">
        <f>WORKDAY(TODAY(),-12)</f>
        <v>0</v>
      </c>
      <c r="AS5" s="19">
        <f>WORKDAY(TODAY(),-11)</f>
        <v>0</v>
      </c>
      <c r="AT5" s="19">
        <f>WORKDAY(TODAY(),-10)</f>
        <v>0</v>
      </c>
      <c r="AU5" s="19">
        <f>WORKDAY(TODAY(),-9)</f>
        <v>0</v>
      </c>
      <c r="AV5" s="19">
        <f>WORKDAY(TODAY(),-8)</f>
        <v>0</v>
      </c>
      <c r="AW5" s="19">
        <f>WORKDAY(TODAY(),-7)</f>
        <v>0</v>
      </c>
      <c r="AX5" s="19">
        <f>WORKDAY(TODAY(),-6)</f>
        <v>0</v>
      </c>
      <c r="AY5" s="19">
        <f>WORKDAY(TODAY(),-5)</f>
        <v>0</v>
      </c>
      <c r="AZ5" s="19">
        <f>WORKDAY(TODAY(),-4)</f>
        <v>0</v>
      </c>
      <c r="BA5" s="19">
        <f>WORKDAY(TODAY(),-3)</f>
        <v>0</v>
      </c>
      <c r="BB5" s="19">
        <f>WORKDAY(TODAY(),-2)</f>
        <v>0</v>
      </c>
      <c r="BC5" s="19">
        <f>WORKDAY(TODAY(),-1)</f>
        <v>0</v>
      </c>
    </row>
    <row r="6" spans="1:55" ht="20" customHeight="1">
      <c r="A6">
        <f>IFERROR(LARGE(SFR!$G:$G,1),0)</f>
        <v>0</v>
      </c>
      <c r="B6">
        <f>IFERROR(MATCH(A6,SFR!$G:$G,0),0)</f>
        <v>0</v>
      </c>
      <c r="C6" s="20">
        <f>IFERROR(INDEX(SFR!$D:$D,B6),"")</f>
        <v>0</v>
      </c>
      <c r="D6" s="21">
        <f>IFERROR(INDEX(SFR!$C:$C,B6),"")</f>
        <v>0</v>
      </c>
      <c r="E6" s="22">
        <f>IFERROR(BDP(C6,"BID_SIZE"),"")</f>
        <v>0</v>
      </c>
      <c r="F6" s="23">
        <f>IFERROR(BDP(C6,"PX_BID"),"")</f>
        <v>0</v>
      </c>
      <c r="G6" s="23">
        <f>IFERROR(BDP(C6,"PX_ASK"),"")</f>
        <v>0</v>
      </c>
      <c r="H6" s="22">
        <f>IFERROR(BDP(C6,"ASK_SIZE"),"")</f>
        <v>0</v>
      </c>
      <c r="I6" s="22">
        <f>IFERROR(BDP(C6,"VOLUME"),"")</f>
        <v>0</v>
      </c>
      <c r="J6" s="23">
        <f>IFERROR(BDP(C6,"PX_LAST"),"")</f>
        <v>0</v>
      </c>
      <c r="K6" s="21">
        <f>IFERROR(BDP(C6,"LAST_UPDATE_DT_EXCH_TZ"),"")</f>
        <v>0</v>
      </c>
      <c r="L6" s="24">
        <f>IFERROR(INDEX(SFR!$B:$B,B6),"")</f>
        <v>0</v>
      </c>
      <c r="AC6" s="25">
        <f>IFERROR(AVERAGE(AG6:BC6),"")</f>
        <v>0</v>
      </c>
      <c r="AD6" s="25">
        <f>IFERROR(STDEV(AG6:BC6),"")</f>
        <v>0</v>
      </c>
      <c r="AE6" s="26">
        <f>IFERROR(IF(AD6=0,"",(J6-AC6)/AD6),"")</f>
        <v>0</v>
      </c>
      <c r="AG6" s="27">
        <f>IFERROR(BDH(C6,"PX_LAST",AG$5,AG$5),"")</f>
        <v>0</v>
      </c>
      <c r="AH6" s="27">
        <f>IFERROR(BDH(C6,"PX_LAST",AH$5,AH$5),"")</f>
        <v>0</v>
      </c>
      <c r="AI6" s="27">
        <f>IFERROR(BDH(C6,"PX_LAST",AI$5,AI$5),"")</f>
        <v>0</v>
      </c>
      <c r="AJ6" s="27">
        <f>IFERROR(BDH(C6,"PX_LAST",AJ$5,AJ$5),"")</f>
        <v>0</v>
      </c>
      <c r="AK6" s="27">
        <f>IFERROR(BDH(C6,"PX_LAST",AK$5,AK$5),"")</f>
        <v>0</v>
      </c>
      <c r="AL6" s="27">
        <f>IFERROR(BDH(C6,"PX_LAST",AL$5,AL$5),"")</f>
        <v>0</v>
      </c>
      <c r="AM6" s="27">
        <f>IFERROR(BDH(C6,"PX_LAST",AM$5,AM$5),"")</f>
        <v>0</v>
      </c>
      <c r="AN6" s="27">
        <f>IFERROR(BDH(C6,"PX_LAST",AN$5,AN$5),"")</f>
        <v>0</v>
      </c>
      <c r="AO6" s="27">
        <f>IFERROR(BDH(C6,"PX_LAST",AO$5,AO$5),"")</f>
        <v>0</v>
      </c>
      <c r="AP6" s="27">
        <f>IFERROR(BDH(C6,"PX_LAST",AP$5,AP$5),"")</f>
        <v>0</v>
      </c>
      <c r="AQ6" s="27">
        <f>IFERROR(BDH(C6,"PX_LAST",AQ$5,AQ$5),"")</f>
        <v>0</v>
      </c>
      <c r="AR6" s="27">
        <f>IFERROR(BDH(C6,"PX_LAST",AR$5,AR$5),"")</f>
        <v>0</v>
      </c>
      <c r="AS6" s="27">
        <f>IFERROR(BDH(C6,"PX_LAST",AS$5,AS$5),"")</f>
        <v>0</v>
      </c>
      <c r="AT6" s="27">
        <f>IFERROR(BDH(C6,"PX_LAST",AT$5,AT$5),"")</f>
        <v>0</v>
      </c>
      <c r="AU6" s="27">
        <f>IFERROR(BDH(C6,"PX_LAST",AU$5,AU$5),"")</f>
        <v>0</v>
      </c>
      <c r="AV6" s="27">
        <f>IFERROR(BDH(C6,"PX_LAST",AV$5,AV$5),"")</f>
        <v>0</v>
      </c>
      <c r="AW6" s="27">
        <f>IFERROR(BDH(C6,"PX_LAST",AW$5,AW$5),"")</f>
        <v>0</v>
      </c>
      <c r="AX6" s="27">
        <f>IFERROR(BDH(C6,"PX_LAST",AX$5,AX$5),"")</f>
        <v>0</v>
      </c>
      <c r="AY6" s="27">
        <f>IFERROR(BDH(C6,"PX_LAST",AY$5,AY$5),"")</f>
        <v>0</v>
      </c>
      <c r="AZ6" s="27">
        <f>IFERROR(BDH(C6,"PX_LAST",AZ$5,AZ$5),"")</f>
        <v>0</v>
      </c>
      <c r="BA6" s="27">
        <f>IFERROR(BDH(C6,"PX_LAST",BA$5,BA$5),"")</f>
        <v>0</v>
      </c>
      <c r="BB6" s="27">
        <f>IFERROR(BDH(C6,"PX_LAST",BB$5,BB$5),"")</f>
        <v>0</v>
      </c>
      <c r="BC6" s="27">
        <f>IFERROR(BDH(C6,"PX_LAST",BC$5,BC$5),"")</f>
        <v>0</v>
      </c>
    </row>
    <row r="7" spans="1:55" ht="20" customHeight="1">
      <c r="A7">
        <f>IFERROR(LARGE(SFR!$G:$G,2),0)</f>
        <v>0</v>
      </c>
      <c r="B7">
        <f>IFERROR(MATCH(A7,SFR!$G:$G,0),0)</f>
        <v>0</v>
      </c>
      <c r="C7" s="20">
        <f>IFERROR(INDEX(SFR!$D:$D,B7),"")</f>
        <v>0</v>
      </c>
      <c r="D7" s="21">
        <f>IFERROR(INDEX(SFR!$C:$C,B7),"")</f>
        <v>0</v>
      </c>
      <c r="E7" s="22">
        <f>IFERROR(BDP(C7,"BID_SIZE"),"")</f>
        <v>0</v>
      </c>
      <c r="F7" s="23">
        <f>IFERROR(BDP(C7,"PX_BID"),"")</f>
        <v>0</v>
      </c>
      <c r="G7" s="23">
        <f>IFERROR(BDP(C7,"PX_ASK"),"")</f>
        <v>0</v>
      </c>
      <c r="H7" s="22">
        <f>IFERROR(BDP(C7,"ASK_SIZE"),"")</f>
        <v>0</v>
      </c>
      <c r="I7" s="22">
        <f>IFERROR(BDP(C7,"VOLUME"),"")</f>
        <v>0</v>
      </c>
      <c r="J7" s="23">
        <f>IFERROR(BDP(C7,"PX_LAST"),"")</f>
        <v>0</v>
      </c>
      <c r="K7" s="21">
        <f>IFERROR(BDP(C7,"LAST_UPDATE_DT_EXCH_TZ"),"")</f>
        <v>0</v>
      </c>
      <c r="L7" s="24">
        <f>IFERROR(INDEX(SFR!$B:$B,B7),"")</f>
        <v>0</v>
      </c>
      <c r="AC7" s="25">
        <f>IFERROR(AVERAGE(AG7:BC7),"")</f>
        <v>0</v>
      </c>
      <c r="AD7" s="25">
        <f>IFERROR(STDEV(AG7:BC7),"")</f>
        <v>0</v>
      </c>
      <c r="AE7" s="26">
        <f>IFERROR(IF(AD7=0,"",(J7-AC7)/AD7),"")</f>
        <v>0</v>
      </c>
      <c r="AG7" s="27">
        <f>IFERROR(BDH(C7,"PX_LAST",AG$5,AG$5),"")</f>
        <v>0</v>
      </c>
      <c r="AH7" s="27">
        <f>IFERROR(BDH(C7,"PX_LAST",AH$5,AH$5),"")</f>
        <v>0</v>
      </c>
      <c r="AI7" s="27">
        <f>IFERROR(BDH(C7,"PX_LAST",AI$5,AI$5),"")</f>
        <v>0</v>
      </c>
      <c r="AJ7" s="27">
        <f>IFERROR(BDH(C7,"PX_LAST",AJ$5,AJ$5),"")</f>
        <v>0</v>
      </c>
      <c r="AK7" s="27">
        <f>IFERROR(BDH(C7,"PX_LAST",AK$5,AK$5),"")</f>
        <v>0</v>
      </c>
      <c r="AL7" s="27">
        <f>IFERROR(BDH(C7,"PX_LAST",AL$5,AL$5),"")</f>
        <v>0</v>
      </c>
      <c r="AM7" s="27">
        <f>IFERROR(BDH(C7,"PX_LAST",AM$5,AM$5),"")</f>
        <v>0</v>
      </c>
      <c r="AN7" s="27">
        <f>IFERROR(BDH(C7,"PX_LAST",AN$5,AN$5),"")</f>
        <v>0</v>
      </c>
      <c r="AO7" s="27">
        <f>IFERROR(BDH(C7,"PX_LAST",AO$5,AO$5),"")</f>
        <v>0</v>
      </c>
      <c r="AP7" s="27">
        <f>IFERROR(BDH(C7,"PX_LAST",AP$5,AP$5),"")</f>
        <v>0</v>
      </c>
      <c r="AQ7" s="27">
        <f>IFERROR(BDH(C7,"PX_LAST",AQ$5,AQ$5),"")</f>
        <v>0</v>
      </c>
      <c r="AR7" s="27">
        <f>IFERROR(BDH(C7,"PX_LAST",AR$5,AR$5),"")</f>
        <v>0</v>
      </c>
      <c r="AS7" s="27">
        <f>IFERROR(BDH(C7,"PX_LAST",AS$5,AS$5),"")</f>
        <v>0</v>
      </c>
      <c r="AT7" s="27">
        <f>IFERROR(BDH(C7,"PX_LAST",AT$5,AT$5),"")</f>
        <v>0</v>
      </c>
      <c r="AU7" s="27">
        <f>IFERROR(BDH(C7,"PX_LAST",AU$5,AU$5),"")</f>
        <v>0</v>
      </c>
      <c r="AV7" s="27">
        <f>IFERROR(BDH(C7,"PX_LAST",AV$5,AV$5),"")</f>
        <v>0</v>
      </c>
      <c r="AW7" s="27">
        <f>IFERROR(BDH(C7,"PX_LAST",AW$5,AW$5),"")</f>
        <v>0</v>
      </c>
      <c r="AX7" s="27">
        <f>IFERROR(BDH(C7,"PX_LAST",AX$5,AX$5),"")</f>
        <v>0</v>
      </c>
      <c r="AY7" s="27">
        <f>IFERROR(BDH(C7,"PX_LAST",AY$5,AY$5),"")</f>
        <v>0</v>
      </c>
      <c r="AZ7" s="27">
        <f>IFERROR(BDH(C7,"PX_LAST",AZ$5,AZ$5),"")</f>
        <v>0</v>
      </c>
      <c r="BA7" s="27">
        <f>IFERROR(BDH(C7,"PX_LAST",BA$5,BA$5),"")</f>
        <v>0</v>
      </c>
      <c r="BB7" s="27">
        <f>IFERROR(BDH(C7,"PX_LAST",BB$5,BB$5),"")</f>
        <v>0</v>
      </c>
      <c r="BC7" s="27">
        <f>IFERROR(BDH(C7,"PX_LAST",BC$5,BC$5),"")</f>
        <v>0</v>
      </c>
    </row>
    <row r="8" spans="1:55" ht="20" customHeight="1">
      <c r="A8">
        <f>IFERROR(LARGE(SFR!$G:$G,3),0)</f>
        <v>0</v>
      </c>
      <c r="B8">
        <f>IFERROR(MATCH(A8,SFR!$G:$G,0),0)</f>
        <v>0</v>
      </c>
      <c r="C8" s="20">
        <f>IFERROR(INDEX(SFR!$D:$D,B8),"")</f>
        <v>0</v>
      </c>
      <c r="D8" s="21">
        <f>IFERROR(INDEX(SFR!$C:$C,B8),"")</f>
        <v>0</v>
      </c>
      <c r="E8" s="22">
        <f>IFERROR(BDP(C8,"BID_SIZE"),"")</f>
        <v>0</v>
      </c>
      <c r="F8" s="23">
        <f>IFERROR(BDP(C8,"PX_BID"),"")</f>
        <v>0</v>
      </c>
      <c r="G8" s="23">
        <f>IFERROR(BDP(C8,"PX_ASK"),"")</f>
        <v>0</v>
      </c>
      <c r="H8" s="22">
        <f>IFERROR(BDP(C8,"ASK_SIZE"),"")</f>
        <v>0</v>
      </c>
      <c r="I8" s="22">
        <f>IFERROR(BDP(C8,"VOLUME"),"")</f>
        <v>0</v>
      </c>
      <c r="J8" s="23">
        <f>IFERROR(BDP(C8,"PX_LAST"),"")</f>
        <v>0</v>
      </c>
      <c r="K8" s="21">
        <f>IFERROR(BDP(C8,"LAST_UPDATE_DT_EXCH_TZ"),"")</f>
        <v>0</v>
      </c>
      <c r="L8" s="24">
        <f>IFERROR(INDEX(SFR!$B:$B,B8),"")</f>
        <v>0</v>
      </c>
      <c r="AC8" s="25">
        <f>IFERROR(AVERAGE(AG8:BC8),"")</f>
        <v>0</v>
      </c>
      <c r="AD8" s="25">
        <f>IFERROR(STDEV(AG8:BC8),"")</f>
        <v>0</v>
      </c>
      <c r="AE8" s="26">
        <f>IFERROR(IF(AD8=0,"",(J8-AC8)/AD8),"")</f>
        <v>0</v>
      </c>
      <c r="AG8" s="27">
        <f>IFERROR(BDH(C8,"PX_LAST",AG$5,AG$5),"")</f>
        <v>0</v>
      </c>
      <c r="AH8" s="27">
        <f>IFERROR(BDH(C8,"PX_LAST",AH$5,AH$5),"")</f>
        <v>0</v>
      </c>
      <c r="AI8" s="27">
        <f>IFERROR(BDH(C8,"PX_LAST",AI$5,AI$5),"")</f>
        <v>0</v>
      </c>
      <c r="AJ8" s="27">
        <f>IFERROR(BDH(C8,"PX_LAST",AJ$5,AJ$5),"")</f>
        <v>0</v>
      </c>
      <c r="AK8" s="27">
        <f>IFERROR(BDH(C8,"PX_LAST",AK$5,AK$5),"")</f>
        <v>0</v>
      </c>
      <c r="AL8" s="27">
        <f>IFERROR(BDH(C8,"PX_LAST",AL$5,AL$5),"")</f>
        <v>0</v>
      </c>
      <c r="AM8" s="27">
        <f>IFERROR(BDH(C8,"PX_LAST",AM$5,AM$5),"")</f>
        <v>0</v>
      </c>
      <c r="AN8" s="27">
        <f>IFERROR(BDH(C8,"PX_LAST",AN$5,AN$5),"")</f>
        <v>0</v>
      </c>
      <c r="AO8" s="27">
        <f>IFERROR(BDH(C8,"PX_LAST",AO$5,AO$5),"")</f>
        <v>0</v>
      </c>
      <c r="AP8" s="27">
        <f>IFERROR(BDH(C8,"PX_LAST",AP$5,AP$5),"")</f>
        <v>0</v>
      </c>
      <c r="AQ8" s="27">
        <f>IFERROR(BDH(C8,"PX_LAST",AQ$5,AQ$5),"")</f>
        <v>0</v>
      </c>
      <c r="AR8" s="27">
        <f>IFERROR(BDH(C8,"PX_LAST",AR$5,AR$5),"")</f>
        <v>0</v>
      </c>
      <c r="AS8" s="27">
        <f>IFERROR(BDH(C8,"PX_LAST",AS$5,AS$5),"")</f>
        <v>0</v>
      </c>
      <c r="AT8" s="27">
        <f>IFERROR(BDH(C8,"PX_LAST",AT$5,AT$5),"")</f>
        <v>0</v>
      </c>
      <c r="AU8" s="27">
        <f>IFERROR(BDH(C8,"PX_LAST",AU$5,AU$5),"")</f>
        <v>0</v>
      </c>
      <c r="AV8" s="27">
        <f>IFERROR(BDH(C8,"PX_LAST",AV$5,AV$5),"")</f>
        <v>0</v>
      </c>
      <c r="AW8" s="27">
        <f>IFERROR(BDH(C8,"PX_LAST",AW$5,AW$5),"")</f>
        <v>0</v>
      </c>
      <c r="AX8" s="27">
        <f>IFERROR(BDH(C8,"PX_LAST",AX$5,AX$5),"")</f>
        <v>0</v>
      </c>
      <c r="AY8" s="27">
        <f>IFERROR(BDH(C8,"PX_LAST",AY$5,AY$5),"")</f>
        <v>0</v>
      </c>
      <c r="AZ8" s="27">
        <f>IFERROR(BDH(C8,"PX_LAST",AZ$5,AZ$5),"")</f>
        <v>0</v>
      </c>
      <c r="BA8" s="27">
        <f>IFERROR(BDH(C8,"PX_LAST",BA$5,BA$5),"")</f>
        <v>0</v>
      </c>
      <c r="BB8" s="27">
        <f>IFERROR(BDH(C8,"PX_LAST",BB$5,BB$5),"")</f>
        <v>0</v>
      </c>
      <c r="BC8" s="27">
        <f>IFERROR(BDH(C8,"PX_LAST",BC$5,BC$5),"")</f>
        <v>0</v>
      </c>
    </row>
    <row r="9" spans="1:55" ht="20" customHeight="1">
      <c r="A9">
        <f>IFERROR(LARGE(SFR!$G:$G,4),0)</f>
        <v>0</v>
      </c>
      <c r="B9">
        <f>IFERROR(MATCH(A9,SFR!$G:$G,0),0)</f>
        <v>0</v>
      </c>
      <c r="C9" s="20">
        <f>IFERROR(INDEX(SFR!$D:$D,B9),"")</f>
        <v>0</v>
      </c>
      <c r="D9" s="21">
        <f>IFERROR(INDEX(SFR!$C:$C,B9),"")</f>
        <v>0</v>
      </c>
      <c r="E9" s="22">
        <f>IFERROR(BDP(C9,"BID_SIZE"),"")</f>
        <v>0</v>
      </c>
      <c r="F9" s="23">
        <f>IFERROR(BDP(C9,"PX_BID"),"")</f>
        <v>0</v>
      </c>
      <c r="G9" s="23">
        <f>IFERROR(BDP(C9,"PX_ASK"),"")</f>
        <v>0</v>
      </c>
      <c r="H9" s="22">
        <f>IFERROR(BDP(C9,"ASK_SIZE"),"")</f>
        <v>0</v>
      </c>
      <c r="I9" s="22">
        <f>IFERROR(BDP(C9,"VOLUME"),"")</f>
        <v>0</v>
      </c>
      <c r="J9" s="23">
        <f>IFERROR(BDP(C9,"PX_LAST"),"")</f>
        <v>0</v>
      </c>
      <c r="K9" s="21">
        <f>IFERROR(BDP(C9,"LAST_UPDATE_DT_EXCH_TZ"),"")</f>
        <v>0</v>
      </c>
      <c r="L9" s="24">
        <f>IFERROR(INDEX(SFR!$B:$B,B9),"")</f>
        <v>0</v>
      </c>
      <c r="AC9" s="25">
        <f>IFERROR(AVERAGE(AG9:BC9),"")</f>
        <v>0</v>
      </c>
      <c r="AD9" s="25">
        <f>IFERROR(STDEV(AG9:BC9),"")</f>
        <v>0</v>
      </c>
      <c r="AE9" s="26">
        <f>IFERROR(IF(AD9=0,"",(J9-AC9)/AD9),"")</f>
        <v>0</v>
      </c>
      <c r="AG9" s="27">
        <f>IFERROR(BDH(C9,"PX_LAST",AG$5,AG$5),"")</f>
        <v>0</v>
      </c>
      <c r="AH9" s="27">
        <f>IFERROR(BDH(C9,"PX_LAST",AH$5,AH$5),"")</f>
        <v>0</v>
      </c>
      <c r="AI9" s="27">
        <f>IFERROR(BDH(C9,"PX_LAST",AI$5,AI$5),"")</f>
        <v>0</v>
      </c>
      <c r="AJ9" s="27">
        <f>IFERROR(BDH(C9,"PX_LAST",AJ$5,AJ$5),"")</f>
        <v>0</v>
      </c>
      <c r="AK9" s="27">
        <f>IFERROR(BDH(C9,"PX_LAST",AK$5,AK$5),"")</f>
        <v>0</v>
      </c>
      <c r="AL9" s="27">
        <f>IFERROR(BDH(C9,"PX_LAST",AL$5,AL$5),"")</f>
        <v>0</v>
      </c>
      <c r="AM9" s="27">
        <f>IFERROR(BDH(C9,"PX_LAST",AM$5,AM$5),"")</f>
        <v>0</v>
      </c>
      <c r="AN9" s="27">
        <f>IFERROR(BDH(C9,"PX_LAST",AN$5,AN$5),"")</f>
        <v>0</v>
      </c>
      <c r="AO9" s="27">
        <f>IFERROR(BDH(C9,"PX_LAST",AO$5,AO$5),"")</f>
        <v>0</v>
      </c>
      <c r="AP9" s="27">
        <f>IFERROR(BDH(C9,"PX_LAST",AP$5,AP$5),"")</f>
        <v>0</v>
      </c>
      <c r="AQ9" s="27">
        <f>IFERROR(BDH(C9,"PX_LAST",AQ$5,AQ$5),"")</f>
        <v>0</v>
      </c>
      <c r="AR9" s="27">
        <f>IFERROR(BDH(C9,"PX_LAST",AR$5,AR$5),"")</f>
        <v>0</v>
      </c>
      <c r="AS9" s="27">
        <f>IFERROR(BDH(C9,"PX_LAST",AS$5,AS$5),"")</f>
        <v>0</v>
      </c>
      <c r="AT9" s="27">
        <f>IFERROR(BDH(C9,"PX_LAST",AT$5,AT$5),"")</f>
        <v>0</v>
      </c>
      <c r="AU9" s="27">
        <f>IFERROR(BDH(C9,"PX_LAST",AU$5,AU$5),"")</f>
        <v>0</v>
      </c>
      <c r="AV9" s="27">
        <f>IFERROR(BDH(C9,"PX_LAST",AV$5,AV$5),"")</f>
        <v>0</v>
      </c>
      <c r="AW9" s="27">
        <f>IFERROR(BDH(C9,"PX_LAST",AW$5,AW$5),"")</f>
        <v>0</v>
      </c>
      <c r="AX9" s="27">
        <f>IFERROR(BDH(C9,"PX_LAST",AX$5,AX$5),"")</f>
        <v>0</v>
      </c>
      <c r="AY9" s="27">
        <f>IFERROR(BDH(C9,"PX_LAST",AY$5,AY$5),"")</f>
        <v>0</v>
      </c>
      <c r="AZ9" s="27">
        <f>IFERROR(BDH(C9,"PX_LAST",AZ$5,AZ$5),"")</f>
        <v>0</v>
      </c>
      <c r="BA9" s="27">
        <f>IFERROR(BDH(C9,"PX_LAST",BA$5,BA$5),"")</f>
        <v>0</v>
      </c>
      <c r="BB9" s="27">
        <f>IFERROR(BDH(C9,"PX_LAST",BB$5,BB$5),"")</f>
        <v>0</v>
      </c>
      <c r="BC9" s="27">
        <f>IFERROR(BDH(C9,"PX_LAST",BC$5,BC$5),"")</f>
        <v>0</v>
      </c>
    </row>
    <row r="10" spans="1:55" ht="20" customHeight="1">
      <c r="A10">
        <f>IFERROR(LARGE(SFR!$G:$G,5),0)</f>
        <v>0</v>
      </c>
      <c r="B10">
        <f>IFERROR(MATCH(A10,SFR!$G:$G,0),0)</f>
        <v>0</v>
      </c>
      <c r="C10" s="20">
        <f>IFERROR(INDEX(SFR!$D:$D,B10),"")</f>
        <v>0</v>
      </c>
      <c r="D10" s="21">
        <f>IFERROR(INDEX(SFR!$C:$C,B10),"")</f>
        <v>0</v>
      </c>
      <c r="E10" s="22">
        <f>IFERROR(BDP(C10,"BID_SIZE"),"")</f>
        <v>0</v>
      </c>
      <c r="F10" s="23">
        <f>IFERROR(BDP(C10,"PX_BID"),"")</f>
        <v>0</v>
      </c>
      <c r="G10" s="23">
        <f>IFERROR(BDP(C10,"PX_ASK"),"")</f>
        <v>0</v>
      </c>
      <c r="H10" s="22">
        <f>IFERROR(BDP(C10,"ASK_SIZE"),"")</f>
        <v>0</v>
      </c>
      <c r="I10" s="22">
        <f>IFERROR(BDP(C10,"VOLUME"),"")</f>
        <v>0</v>
      </c>
      <c r="J10" s="23">
        <f>IFERROR(BDP(C10,"PX_LAST"),"")</f>
        <v>0</v>
      </c>
      <c r="K10" s="21">
        <f>IFERROR(BDP(C10,"LAST_UPDATE_DT_EXCH_TZ"),"")</f>
        <v>0</v>
      </c>
      <c r="L10" s="24">
        <f>IFERROR(INDEX(SFR!$B:$B,B10),"")</f>
        <v>0</v>
      </c>
      <c r="AC10" s="25">
        <f>IFERROR(AVERAGE(AG10:BC10),"")</f>
        <v>0</v>
      </c>
      <c r="AD10" s="25">
        <f>IFERROR(STDEV(AG10:BC10),"")</f>
        <v>0</v>
      </c>
      <c r="AE10" s="26">
        <f>IFERROR(IF(AD10=0,"",(J10-AC10)/AD10),"")</f>
        <v>0</v>
      </c>
      <c r="AG10" s="27">
        <f>IFERROR(BDH(C10,"PX_LAST",AG$5,AG$5),"")</f>
        <v>0</v>
      </c>
      <c r="AH10" s="27">
        <f>IFERROR(BDH(C10,"PX_LAST",AH$5,AH$5),"")</f>
        <v>0</v>
      </c>
      <c r="AI10" s="27">
        <f>IFERROR(BDH(C10,"PX_LAST",AI$5,AI$5),"")</f>
        <v>0</v>
      </c>
      <c r="AJ10" s="27">
        <f>IFERROR(BDH(C10,"PX_LAST",AJ$5,AJ$5),"")</f>
        <v>0</v>
      </c>
      <c r="AK10" s="27">
        <f>IFERROR(BDH(C10,"PX_LAST",AK$5,AK$5),"")</f>
        <v>0</v>
      </c>
      <c r="AL10" s="27">
        <f>IFERROR(BDH(C10,"PX_LAST",AL$5,AL$5),"")</f>
        <v>0</v>
      </c>
      <c r="AM10" s="27">
        <f>IFERROR(BDH(C10,"PX_LAST",AM$5,AM$5),"")</f>
        <v>0</v>
      </c>
      <c r="AN10" s="27">
        <f>IFERROR(BDH(C10,"PX_LAST",AN$5,AN$5),"")</f>
        <v>0</v>
      </c>
      <c r="AO10" s="27">
        <f>IFERROR(BDH(C10,"PX_LAST",AO$5,AO$5),"")</f>
        <v>0</v>
      </c>
      <c r="AP10" s="27">
        <f>IFERROR(BDH(C10,"PX_LAST",AP$5,AP$5),"")</f>
        <v>0</v>
      </c>
      <c r="AQ10" s="27">
        <f>IFERROR(BDH(C10,"PX_LAST",AQ$5,AQ$5),"")</f>
        <v>0</v>
      </c>
      <c r="AR10" s="27">
        <f>IFERROR(BDH(C10,"PX_LAST",AR$5,AR$5),"")</f>
        <v>0</v>
      </c>
      <c r="AS10" s="27">
        <f>IFERROR(BDH(C10,"PX_LAST",AS$5,AS$5),"")</f>
        <v>0</v>
      </c>
      <c r="AT10" s="27">
        <f>IFERROR(BDH(C10,"PX_LAST",AT$5,AT$5),"")</f>
        <v>0</v>
      </c>
      <c r="AU10" s="27">
        <f>IFERROR(BDH(C10,"PX_LAST",AU$5,AU$5),"")</f>
        <v>0</v>
      </c>
      <c r="AV10" s="27">
        <f>IFERROR(BDH(C10,"PX_LAST",AV$5,AV$5),"")</f>
        <v>0</v>
      </c>
      <c r="AW10" s="27">
        <f>IFERROR(BDH(C10,"PX_LAST",AW$5,AW$5),"")</f>
        <v>0</v>
      </c>
      <c r="AX10" s="27">
        <f>IFERROR(BDH(C10,"PX_LAST",AX$5,AX$5),"")</f>
        <v>0</v>
      </c>
      <c r="AY10" s="27">
        <f>IFERROR(BDH(C10,"PX_LAST",AY$5,AY$5),"")</f>
        <v>0</v>
      </c>
      <c r="AZ10" s="27">
        <f>IFERROR(BDH(C10,"PX_LAST",AZ$5,AZ$5),"")</f>
        <v>0</v>
      </c>
      <c r="BA10" s="27">
        <f>IFERROR(BDH(C10,"PX_LAST",BA$5,BA$5),"")</f>
        <v>0</v>
      </c>
      <c r="BB10" s="27">
        <f>IFERROR(BDH(C10,"PX_LAST",BB$5,BB$5),"")</f>
        <v>0</v>
      </c>
      <c r="BC10" s="27">
        <f>IFERROR(BDH(C10,"PX_LAST",BC$5,BC$5),"")</f>
        <v>0</v>
      </c>
    </row>
    <row r="11" spans="1:55" ht="20" customHeight="1">
      <c r="A11">
        <f>IFERROR(LARGE(SFR!$G:$G,6),0)</f>
        <v>0</v>
      </c>
      <c r="B11">
        <f>IFERROR(MATCH(A11,SFR!$G:$G,0),0)</f>
        <v>0</v>
      </c>
      <c r="C11" s="20">
        <f>IFERROR(INDEX(SFR!$D:$D,B11),"")</f>
        <v>0</v>
      </c>
      <c r="D11" s="21">
        <f>IFERROR(INDEX(SFR!$C:$C,B11),"")</f>
        <v>0</v>
      </c>
      <c r="E11" s="22">
        <f>IFERROR(BDP(C11,"BID_SIZE"),"")</f>
        <v>0</v>
      </c>
      <c r="F11" s="23">
        <f>IFERROR(BDP(C11,"PX_BID"),"")</f>
        <v>0</v>
      </c>
      <c r="G11" s="23">
        <f>IFERROR(BDP(C11,"PX_ASK"),"")</f>
        <v>0</v>
      </c>
      <c r="H11" s="22">
        <f>IFERROR(BDP(C11,"ASK_SIZE"),"")</f>
        <v>0</v>
      </c>
      <c r="I11" s="22">
        <f>IFERROR(BDP(C11,"VOLUME"),"")</f>
        <v>0</v>
      </c>
      <c r="J11" s="23">
        <f>IFERROR(BDP(C11,"PX_LAST"),"")</f>
        <v>0</v>
      </c>
      <c r="K11" s="21">
        <f>IFERROR(BDP(C11,"LAST_UPDATE_DT_EXCH_TZ"),"")</f>
        <v>0</v>
      </c>
      <c r="L11" s="24">
        <f>IFERROR(INDEX(SFR!$B:$B,B11),"")</f>
        <v>0</v>
      </c>
      <c r="AC11" s="25">
        <f>IFERROR(AVERAGE(AG11:BC11),"")</f>
        <v>0</v>
      </c>
      <c r="AD11" s="25">
        <f>IFERROR(STDEV(AG11:BC11),"")</f>
        <v>0</v>
      </c>
      <c r="AE11" s="26">
        <f>IFERROR(IF(AD11=0,"",(J11-AC11)/AD11),"")</f>
        <v>0</v>
      </c>
      <c r="AG11" s="27">
        <f>IFERROR(BDH(C11,"PX_LAST",AG$5,AG$5),"")</f>
        <v>0</v>
      </c>
      <c r="AH11" s="27">
        <f>IFERROR(BDH(C11,"PX_LAST",AH$5,AH$5),"")</f>
        <v>0</v>
      </c>
      <c r="AI11" s="27">
        <f>IFERROR(BDH(C11,"PX_LAST",AI$5,AI$5),"")</f>
        <v>0</v>
      </c>
      <c r="AJ11" s="27">
        <f>IFERROR(BDH(C11,"PX_LAST",AJ$5,AJ$5),"")</f>
        <v>0</v>
      </c>
      <c r="AK11" s="27">
        <f>IFERROR(BDH(C11,"PX_LAST",AK$5,AK$5),"")</f>
        <v>0</v>
      </c>
      <c r="AL11" s="27">
        <f>IFERROR(BDH(C11,"PX_LAST",AL$5,AL$5),"")</f>
        <v>0</v>
      </c>
      <c r="AM11" s="27">
        <f>IFERROR(BDH(C11,"PX_LAST",AM$5,AM$5),"")</f>
        <v>0</v>
      </c>
      <c r="AN11" s="27">
        <f>IFERROR(BDH(C11,"PX_LAST",AN$5,AN$5),"")</f>
        <v>0</v>
      </c>
      <c r="AO11" s="27">
        <f>IFERROR(BDH(C11,"PX_LAST",AO$5,AO$5),"")</f>
        <v>0</v>
      </c>
      <c r="AP11" s="27">
        <f>IFERROR(BDH(C11,"PX_LAST",AP$5,AP$5),"")</f>
        <v>0</v>
      </c>
      <c r="AQ11" s="27">
        <f>IFERROR(BDH(C11,"PX_LAST",AQ$5,AQ$5),"")</f>
        <v>0</v>
      </c>
      <c r="AR11" s="27">
        <f>IFERROR(BDH(C11,"PX_LAST",AR$5,AR$5),"")</f>
        <v>0</v>
      </c>
      <c r="AS11" s="27">
        <f>IFERROR(BDH(C11,"PX_LAST",AS$5,AS$5),"")</f>
        <v>0</v>
      </c>
      <c r="AT11" s="27">
        <f>IFERROR(BDH(C11,"PX_LAST",AT$5,AT$5),"")</f>
        <v>0</v>
      </c>
      <c r="AU11" s="27">
        <f>IFERROR(BDH(C11,"PX_LAST",AU$5,AU$5),"")</f>
        <v>0</v>
      </c>
      <c r="AV11" s="27">
        <f>IFERROR(BDH(C11,"PX_LAST",AV$5,AV$5),"")</f>
        <v>0</v>
      </c>
      <c r="AW11" s="27">
        <f>IFERROR(BDH(C11,"PX_LAST",AW$5,AW$5),"")</f>
        <v>0</v>
      </c>
      <c r="AX11" s="27">
        <f>IFERROR(BDH(C11,"PX_LAST",AX$5,AX$5),"")</f>
        <v>0</v>
      </c>
      <c r="AY11" s="27">
        <f>IFERROR(BDH(C11,"PX_LAST",AY$5,AY$5),"")</f>
        <v>0</v>
      </c>
      <c r="AZ11" s="27">
        <f>IFERROR(BDH(C11,"PX_LAST",AZ$5,AZ$5),"")</f>
        <v>0</v>
      </c>
      <c r="BA11" s="27">
        <f>IFERROR(BDH(C11,"PX_LAST",BA$5,BA$5),"")</f>
        <v>0</v>
      </c>
      <c r="BB11" s="27">
        <f>IFERROR(BDH(C11,"PX_LAST",BB$5,BB$5),"")</f>
        <v>0</v>
      </c>
      <c r="BC11" s="27">
        <f>IFERROR(BDH(C11,"PX_LAST",BC$5,BC$5),"")</f>
        <v>0</v>
      </c>
    </row>
    <row r="12" spans="1:55" ht="20" customHeight="1">
      <c r="A12">
        <f>IFERROR(LARGE(SFR!$G:$G,7),0)</f>
        <v>0</v>
      </c>
      <c r="B12">
        <f>IFERROR(MATCH(A12,SFR!$G:$G,0),0)</f>
        <v>0</v>
      </c>
      <c r="C12" s="20">
        <f>IFERROR(INDEX(SFR!$D:$D,B12),"")</f>
        <v>0</v>
      </c>
      <c r="D12" s="21">
        <f>IFERROR(INDEX(SFR!$C:$C,B12),"")</f>
        <v>0</v>
      </c>
      <c r="E12" s="22">
        <f>IFERROR(BDP(C12,"BID_SIZE"),"")</f>
        <v>0</v>
      </c>
      <c r="F12" s="23">
        <f>IFERROR(BDP(C12,"PX_BID"),"")</f>
        <v>0</v>
      </c>
      <c r="G12" s="23">
        <f>IFERROR(BDP(C12,"PX_ASK"),"")</f>
        <v>0</v>
      </c>
      <c r="H12" s="22">
        <f>IFERROR(BDP(C12,"ASK_SIZE"),"")</f>
        <v>0</v>
      </c>
      <c r="I12" s="22">
        <f>IFERROR(BDP(C12,"VOLUME"),"")</f>
        <v>0</v>
      </c>
      <c r="J12" s="23">
        <f>IFERROR(BDP(C12,"PX_LAST"),"")</f>
        <v>0</v>
      </c>
      <c r="K12" s="21">
        <f>IFERROR(BDP(C12,"LAST_UPDATE_DT_EXCH_TZ"),"")</f>
        <v>0</v>
      </c>
      <c r="L12" s="24">
        <f>IFERROR(INDEX(SFR!$B:$B,B12),"")</f>
        <v>0</v>
      </c>
      <c r="AC12" s="25">
        <f>IFERROR(AVERAGE(AG12:BC12),"")</f>
        <v>0</v>
      </c>
      <c r="AD12" s="25">
        <f>IFERROR(STDEV(AG12:BC12),"")</f>
        <v>0</v>
      </c>
      <c r="AE12" s="26">
        <f>IFERROR(IF(AD12=0,"",(J12-AC12)/AD12),"")</f>
        <v>0</v>
      </c>
      <c r="AG12" s="27">
        <f>IFERROR(BDH(C12,"PX_LAST",AG$5,AG$5),"")</f>
        <v>0</v>
      </c>
      <c r="AH12" s="27">
        <f>IFERROR(BDH(C12,"PX_LAST",AH$5,AH$5),"")</f>
        <v>0</v>
      </c>
      <c r="AI12" s="27">
        <f>IFERROR(BDH(C12,"PX_LAST",AI$5,AI$5),"")</f>
        <v>0</v>
      </c>
      <c r="AJ12" s="27">
        <f>IFERROR(BDH(C12,"PX_LAST",AJ$5,AJ$5),"")</f>
        <v>0</v>
      </c>
      <c r="AK12" s="27">
        <f>IFERROR(BDH(C12,"PX_LAST",AK$5,AK$5),"")</f>
        <v>0</v>
      </c>
      <c r="AL12" s="27">
        <f>IFERROR(BDH(C12,"PX_LAST",AL$5,AL$5),"")</f>
        <v>0</v>
      </c>
      <c r="AM12" s="27">
        <f>IFERROR(BDH(C12,"PX_LAST",AM$5,AM$5),"")</f>
        <v>0</v>
      </c>
      <c r="AN12" s="27">
        <f>IFERROR(BDH(C12,"PX_LAST",AN$5,AN$5),"")</f>
        <v>0</v>
      </c>
      <c r="AO12" s="27">
        <f>IFERROR(BDH(C12,"PX_LAST",AO$5,AO$5),"")</f>
        <v>0</v>
      </c>
      <c r="AP12" s="27">
        <f>IFERROR(BDH(C12,"PX_LAST",AP$5,AP$5),"")</f>
        <v>0</v>
      </c>
      <c r="AQ12" s="27">
        <f>IFERROR(BDH(C12,"PX_LAST",AQ$5,AQ$5),"")</f>
        <v>0</v>
      </c>
      <c r="AR12" s="27">
        <f>IFERROR(BDH(C12,"PX_LAST",AR$5,AR$5),"")</f>
        <v>0</v>
      </c>
      <c r="AS12" s="27">
        <f>IFERROR(BDH(C12,"PX_LAST",AS$5,AS$5),"")</f>
        <v>0</v>
      </c>
      <c r="AT12" s="27">
        <f>IFERROR(BDH(C12,"PX_LAST",AT$5,AT$5),"")</f>
        <v>0</v>
      </c>
      <c r="AU12" s="27">
        <f>IFERROR(BDH(C12,"PX_LAST",AU$5,AU$5),"")</f>
        <v>0</v>
      </c>
      <c r="AV12" s="27">
        <f>IFERROR(BDH(C12,"PX_LAST",AV$5,AV$5),"")</f>
        <v>0</v>
      </c>
      <c r="AW12" s="27">
        <f>IFERROR(BDH(C12,"PX_LAST",AW$5,AW$5),"")</f>
        <v>0</v>
      </c>
      <c r="AX12" s="27">
        <f>IFERROR(BDH(C12,"PX_LAST",AX$5,AX$5),"")</f>
        <v>0</v>
      </c>
      <c r="AY12" s="27">
        <f>IFERROR(BDH(C12,"PX_LAST",AY$5,AY$5),"")</f>
        <v>0</v>
      </c>
      <c r="AZ12" s="27">
        <f>IFERROR(BDH(C12,"PX_LAST",AZ$5,AZ$5),"")</f>
        <v>0</v>
      </c>
      <c r="BA12" s="27">
        <f>IFERROR(BDH(C12,"PX_LAST",BA$5,BA$5),"")</f>
        <v>0</v>
      </c>
      <c r="BB12" s="27">
        <f>IFERROR(BDH(C12,"PX_LAST",BB$5,BB$5),"")</f>
        <v>0</v>
      </c>
      <c r="BC12" s="27">
        <f>IFERROR(BDH(C12,"PX_LAST",BC$5,BC$5),"")</f>
        <v>0</v>
      </c>
    </row>
    <row r="13" spans="1:55" ht="20" customHeight="1">
      <c r="A13">
        <f>IFERROR(LARGE(SFR!$G:$G,8),0)</f>
        <v>0</v>
      </c>
      <c r="B13">
        <f>IFERROR(MATCH(A13,SFR!$G:$G,0),0)</f>
        <v>0</v>
      </c>
      <c r="C13" s="20">
        <f>IFERROR(INDEX(SFR!$D:$D,B13),"")</f>
        <v>0</v>
      </c>
      <c r="D13" s="21">
        <f>IFERROR(INDEX(SFR!$C:$C,B13),"")</f>
        <v>0</v>
      </c>
      <c r="E13" s="22">
        <f>IFERROR(BDP(C13,"BID_SIZE"),"")</f>
        <v>0</v>
      </c>
      <c r="F13" s="23">
        <f>IFERROR(BDP(C13,"PX_BID"),"")</f>
        <v>0</v>
      </c>
      <c r="G13" s="23">
        <f>IFERROR(BDP(C13,"PX_ASK"),"")</f>
        <v>0</v>
      </c>
      <c r="H13" s="22">
        <f>IFERROR(BDP(C13,"ASK_SIZE"),"")</f>
        <v>0</v>
      </c>
      <c r="I13" s="22">
        <f>IFERROR(BDP(C13,"VOLUME"),"")</f>
        <v>0</v>
      </c>
      <c r="J13" s="23">
        <f>IFERROR(BDP(C13,"PX_LAST"),"")</f>
        <v>0</v>
      </c>
      <c r="K13" s="21">
        <f>IFERROR(BDP(C13,"LAST_UPDATE_DT_EXCH_TZ"),"")</f>
        <v>0</v>
      </c>
      <c r="L13" s="24">
        <f>IFERROR(INDEX(SFR!$B:$B,B13),"")</f>
        <v>0</v>
      </c>
      <c r="AC13" s="25">
        <f>IFERROR(AVERAGE(AG13:BC13),"")</f>
        <v>0</v>
      </c>
      <c r="AD13" s="25">
        <f>IFERROR(STDEV(AG13:BC13),"")</f>
        <v>0</v>
      </c>
      <c r="AE13" s="26">
        <f>IFERROR(IF(AD13=0,"",(J13-AC13)/AD13),"")</f>
        <v>0</v>
      </c>
      <c r="AG13" s="27">
        <f>IFERROR(BDH(C13,"PX_LAST",AG$5,AG$5),"")</f>
        <v>0</v>
      </c>
      <c r="AH13" s="27">
        <f>IFERROR(BDH(C13,"PX_LAST",AH$5,AH$5),"")</f>
        <v>0</v>
      </c>
      <c r="AI13" s="27">
        <f>IFERROR(BDH(C13,"PX_LAST",AI$5,AI$5),"")</f>
        <v>0</v>
      </c>
      <c r="AJ13" s="27">
        <f>IFERROR(BDH(C13,"PX_LAST",AJ$5,AJ$5),"")</f>
        <v>0</v>
      </c>
      <c r="AK13" s="27">
        <f>IFERROR(BDH(C13,"PX_LAST",AK$5,AK$5),"")</f>
        <v>0</v>
      </c>
      <c r="AL13" s="27">
        <f>IFERROR(BDH(C13,"PX_LAST",AL$5,AL$5),"")</f>
        <v>0</v>
      </c>
      <c r="AM13" s="27">
        <f>IFERROR(BDH(C13,"PX_LAST",AM$5,AM$5),"")</f>
        <v>0</v>
      </c>
      <c r="AN13" s="27">
        <f>IFERROR(BDH(C13,"PX_LAST",AN$5,AN$5),"")</f>
        <v>0</v>
      </c>
      <c r="AO13" s="27">
        <f>IFERROR(BDH(C13,"PX_LAST",AO$5,AO$5),"")</f>
        <v>0</v>
      </c>
      <c r="AP13" s="27">
        <f>IFERROR(BDH(C13,"PX_LAST",AP$5,AP$5),"")</f>
        <v>0</v>
      </c>
      <c r="AQ13" s="27">
        <f>IFERROR(BDH(C13,"PX_LAST",AQ$5,AQ$5),"")</f>
        <v>0</v>
      </c>
      <c r="AR13" s="27">
        <f>IFERROR(BDH(C13,"PX_LAST",AR$5,AR$5),"")</f>
        <v>0</v>
      </c>
      <c r="AS13" s="27">
        <f>IFERROR(BDH(C13,"PX_LAST",AS$5,AS$5),"")</f>
        <v>0</v>
      </c>
      <c r="AT13" s="27">
        <f>IFERROR(BDH(C13,"PX_LAST",AT$5,AT$5),"")</f>
        <v>0</v>
      </c>
      <c r="AU13" s="27">
        <f>IFERROR(BDH(C13,"PX_LAST",AU$5,AU$5),"")</f>
        <v>0</v>
      </c>
      <c r="AV13" s="27">
        <f>IFERROR(BDH(C13,"PX_LAST",AV$5,AV$5),"")</f>
        <v>0</v>
      </c>
      <c r="AW13" s="27">
        <f>IFERROR(BDH(C13,"PX_LAST",AW$5,AW$5),"")</f>
        <v>0</v>
      </c>
      <c r="AX13" s="27">
        <f>IFERROR(BDH(C13,"PX_LAST",AX$5,AX$5),"")</f>
        <v>0</v>
      </c>
      <c r="AY13" s="27">
        <f>IFERROR(BDH(C13,"PX_LAST",AY$5,AY$5),"")</f>
        <v>0</v>
      </c>
      <c r="AZ13" s="27">
        <f>IFERROR(BDH(C13,"PX_LAST",AZ$5,AZ$5),"")</f>
        <v>0</v>
      </c>
      <c r="BA13" s="27">
        <f>IFERROR(BDH(C13,"PX_LAST",BA$5,BA$5),"")</f>
        <v>0</v>
      </c>
      <c r="BB13" s="27">
        <f>IFERROR(BDH(C13,"PX_LAST",BB$5,BB$5),"")</f>
        <v>0</v>
      </c>
      <c r="BC13" s="27">
        <f>IFERROR(BDH(C13,"PX_LAST",BC$5,BC$5),"")</f>
        <v>0</v>
      </c>
    </row>
    <row r="14" spans="1:55" ht="20" customHeight="1">
      <c r="A14">
        <f>IFERROR(LARGE(SFR!$G:$G,9),0)</f>
        <v>0</v>
      </c>
      <c r="B14">
        <f>IFERROR(MATCH(A14,SFR!$G:$G,0),0)</f>
        <v>0</v>
      </c>
      <c r="C14" s="20">
        <f>IFERROR(INDEX(SFR!$D:$D,B14),"")</f>
        <v>0</v>
      </c>
      <c r="D14" s="21">
        <f>IFERROR(INDEX(SFR!$C:$C,B14),"")</f>
        <v>0</v>
      </c>
      <c r="E14" s="22">
        <f>IFERROR(BDP(C14,"BID_SIZE"),"")</f>
        <v>0</v>
      </c>
      <c r="F14" s="23">
        <f>IFERROR(BDP(C14,"PX_BID"),"")</f>
        <v>0</v>
      </c>
      <c r="G14" s="23">
        <f>IFERROR(BDP(C14,"PX_ASK"),"")</f>
        <v>0</v>
      </c>
      <c r="H14" s="22">
        <f>IFERROR(BDP(C14,"ASK_SIZE"),"")</f>
        <v>0</v>
      </c>
      <c r="I14" s="22">
        <f>IFERROR(BDP(C14,"VOLUME"),"")</f>
        <v>0</v>
      </c>
      <c r="J14" s="23">
        <f>IFERROR(BDP(C14,"PX_LAST"),"")</f>
        <v>0</v>
      </c>
      <c r="K14" s="21">
        <f>IFERROR(BDP(C14,"LAST_UPDATE_DT_EXCH_TZ"),"")</f>
        <v>0</v>
      </c>
      <c r="L14" s="24">
        <f>IFERROR(INDEX(SFR!$B:$B,B14),"")</f>
        <v>0</v>
      </c>
      <c r="AC14" s="25">
        <f>IFERROR(AVERAGE(AG14:BC14),"")</f>
        <v>0</v>
      </c>
      <c r="AD14" s="25">
        <f>IFERROR(STDEV(AG14:BC14),"")</f>
        <v>0</v>
      </c>
      <c r="AE14" s="26">
        <f>IFERROR(IF(AD14=0,"",(J14-AC14)/AD14),"")</f>
        <v>0</v>
      </c>
      <c r="AG14" s="27">
        <f>IFERROR(BDH(C14,"PX_LAST",AG$5,AG$5),"")</f>
        <v>0</v>
      </c>
      <c r="AH14" s="27">
        <f>IFERROR(BDH(C14,"PX_LAST",AH$5,AH$5),"")</f>
        <v>0</v>
      </c>
      <c r="AI14" s="27">
        <f>IFERROR(BDH(C14,"PX_LAST",AI$5,AI$5),"")</f>
        <v>0</v>
      </c>
      <c r="AJ14" s="27">
        <f>IFERROR(BDH(C14,"PX_LAST",AJ$5,AJ$5),"")</f>
        <v>0</v>
      </c>
      <c r="AK14" s="27">
        <f>IFERROR(BDH(C14,"PX_LAST",AK$5,AK$5),"")</f>
        <v>0</v>
      </c>
      <c r="AL14" s="27">
        <f>IFERROR(BDH(C14,"PX_LAST",AL$5,AL$5),"")</f>
        <v>0</v>
      </c>
      <c r="AM14" s="27">
        <f>IFERROR(BDH(C14,"PX_LAST",AM$5,AM$5),"")</f>
        <v>0</v>
      </c>
      <c r="AN14" s="27">
        <f>IFERROR(BDH(C14,"PX_LAST",AN$5,AN$5),"")</f>
        <v>0</v>
      </c>
      <c r="AO14" s="27">
        <f>IFERROR(BDH(C14,"PX_LAST",AO$5,AO$5),"")</f>
        <v>0</v>
      </c>
      <c r="AP14" s="27">
        <f>IFERROR(BDH(C14,"PX_LAST",AP$5,AP$5),"")</f>
        <v>0</v>
      </c>
      <c r="AQ14" s="27">
        <f>IFERROR(BDH(C14,"PX_LAST",AQ$5,AQ$5),"")</f>
        <v>0</v>
      </c>
      <c r="AR14" s="27">
        <f>IFERROR(BDH(C14,"PX_LAST",AR$5,AR$5),"")</f>
        <v>0</v>
      </c>
      <c r="AS14" s="27">
        <f>IFERROR(BDH(C14,"PX_LAST",AS$5,AS$5),"")</f>
        <v>0</v>
      </c>
      <c r="AT14" s="27">
        <f>IFERROR(BDH(C14,"PX_LAST",AT$5,AT$5),"")</f>
        <v>0</v>
      </c>
      <c r="AU14" s="27">
        <f>IFERROR(BDH(C14,"PX_LAST",AU$5,AU$5),"")</f>
        <v>0</v>
      </c>
      <c r="AV14" s="27">
        <f>IFERROR(BDH(C14,"PX_LAST",AV$5,AV$5),"")</f>
        <v>0</v>
      </c>
      <c r="AW14" s="27">
        <f>IFERROR(BDH(C14,"PX_LAST",AW$5,AW$5),"")</f>
        <v>0</v>
      </c>
      <c r="AX14" s="27">
        <f>IFERROR(BDH(C14,"PX_LAST",AX$5,AX$5),"")</f>
        <v>0</v>
      </c>
      <c r="AY14" s="27">
        <f>IFERROR(BDH(C14,"PX_LAST",AY$5,AY$5),"")</f>
        <v>0</v>
      </c>
      <c r="AZ14" s="27">
        <f>IFERROR(BDH(C14,"PX_LAST",AZ$5,AZ$5),"")</f>
        <v>0</v>
      </c>
      <c r="BA14" s="27">
        <f>IFERROR(BDH(C14,"PX_LAST",BA$5,BA$5),"")</f>
        <v>0</v>
      </c>
      <c r="BB14" s="27">
        <f>IFERROR(BDH(C14,"PX_LAST",BB$5,BB$5),"")</f>
        <v>0</v>
      </c>
      <c r="BC14" s="27">
        <f>IFERROR(BDH(C14,"PX_LAST",BC$5,BC$5),"")</f>
        <v>0</v>
      </c>
    </row>
    <row r="15" spans="1:55" ht="20" customHeight="1">
      <c r="A15">
        <f>IFERROR(LARGE(SFR!$G:$G,10),0)</f>
        <v>0</v>
      </c>
      <c r="B15">
        <f>IFERROR(MATCH(A15,SFR!$G:$G,0),0)</f>
        <v>0</v>
      </c>
      <c r="C15" s="20">
        <f>IFERROR(INDEX(SFR!$D:$D,B15),"")</f>
        <v>0</v>
      </c>
      <c r="D15" s="21">
        <f>IFERROR(INDEX(SFR!$C:$C,B15),"")</f>
        <v>0</v>
      </c>
      <c r="E15" s="22">
        <f>IFERROR(BDP(C15,"BID_SIZE"),"")</f>
        <v>0</v>
      </c>
      <c r="F15" s="23">
        <f>IFERROR(BDP(C15,"PX_BID"),"")</f>
        <v>0</v>
      </c>
      <c r="G15" s="23">
        <f>IFERROR(BDP(C15,"PX_ASK"),"")</f>
        <v>0</v>
      </c>
      <c r="H15" s="22">
        <f>IFERROR(BDP(C15,"ASK_SIZE"),"")</f>
        <v>0</v>
      </c>
      <c r="I15" s="22">
        <f>IFERROR(BDP(C15,"VOLUME"),"")</f>
        <v>0</v>
      </c>
      <c r="J15" s="23">
        <f>IFERROR(BDP(C15,"PX_LAST"),"")</f>
        <v>0</v>
      </c>
      <c r="K15" s="21">
        <f>IFERROR(BDP(C15,"LAST_UPDATE_DT_EXCH_TZ"),"")</f>
        <v>0</v>
      </c>
      <c r="L15" s="24">
        <f>IFERROR(INDEX(SFR!$B:$B,B15),"")</f>
        <v>0</v>
      </c>
      <c r="AC15" s="25">
        <f>IFERROR(AVERAGE(AG15:BC15),"")</f>
        <v>0</v>
      </c>
      <c r="AD15" s="25">
        <f>IFERROR(STDEV(AG15:BC15),"")</f>
        <v>0</v>
      </c>
      <c r="AE15" s="26">
        <f>IFERROR(IF(AD15=0,"",(J15-AC15)/AD15),"")</f>
        <v>0</v>
      </c>
      <c r="AG15" s="27">
        <f>IFERROR(BDH(C15,"PX_LAST",AG$5,AG$5),"")</f>
        <v>0</v>
      </c>
      <c r="AH15" s="27">
        <f>IFERROR(BDH(C15,"PX_LAST",AH$5,AH$5),"")</f>
        <v>0</v>
      </c>
      <c r="AI15" s="27">
        <f>IFERROR(BDH(C15,"PX_LAST",AI$5,AI$5),"")</f>
        <v>0</v>
      </c>
      <c r="AJ15" s="27">
        <f>IFERROR(BDH(C15,"PX_LAST",AJ$5,AJ$5),"")</f>
        <v>0</v>
      </c>
      <c r="AK15" s="27">
        <f>IFERROR(BDH(C15,"PX_LAST",AK$5,AK$5),"")</f>
        <v>0</v>
      </c>
      <c r="AL15" s="27">
        <f>IFERROR(BDH(C15,"PX_LAST",AL$5,AL$5),"")</f>
        <v>0</v>
      </c>
      <c r="AM15" s="27">
        <f>IFERROR(BDH(C15,"PX_LAST",AM$5,AM$5),"")</f>
        <v>0</v>
      </c>
      <c r="AN15" s="27">
        <f>IFERROR(BDH(C15,"PX_LAST",AN$5,AN$5),"")</f>
        <v>0</v>
      </c>
      <c r="AO15" s="27">
        <f>IFERROR(BDH(C15,"PX_LAST",AO$5,AO$5),"")</f>
        <v>0</v>
      </c>
      <c r="AP15" s="27">
        <f>IFERROR(BDH(C15,"PX_LAST",AP$5,AP$5),"")</f>
        <v>0</v>
      </c>
      <c r="AQ15" s="27">
        <f>IFERROR(BDH(C15,"PX_LAST",AQ$5,AQ$5),"")</f>
        <v>0</v>
      </c>
      <c r="AR15" s="27">
        <f>IFERROR(BDH(C15,"PX_LAST",AR$5,AR$5),"")</f>
        <v>0</v>
      </c>
      <c r="AS15" s="27">
        <f>IFERROR(BDH(C15,"PX_LAST",AS$5,AS$5),"")</f>
        <v>0</v>
      </c>
      <c r="AT15" s="27">
        <f>IFERROR(BDH(C15,"PX_LAST",AT$5,AT$5),"")</f>
        <v>0</v>
      </c>
      <c r="AU15" s="27">
        <f>IFERROR(BDH(C15,"PX_LAST",AU$5,AU$5),"")</f>
        <v>0</v>
      </c>
      <c r="AV15" s="27">
        <f>IFERROR(BDH(C15,"PX_LAST",AV$5,AV$5),"")</f>
        <v>0</v>
      </c>
      <c r="AW15" s="27">
        <f>IFERROR(BDH(C15,"PX_LAST",AW$5,AW$5),"")</f>
        <v>0</v>
      </c>
      <c r="AX15" s="27">
        <f>IFERROR(BDH(C15,"PX_LAST",AX$5,AX$5),"")</f>
        <v>0</v>
      </c>
      <c r="AY15" s="27">
        <f>IFERROR(BDH(C15,"PX_LAST",AY$5,AY$5),"")</f>
        <v>0</v>
      </c>
      <c r="AZ15" s="27">
        <f>IFERROR(BDH(C15,"PX_LAST",AZ$5,AZ$5),"")</f>
        <v>0</v>
      </c>
      <c r="BA15" s="27">
        <f>IFERROR(BDH(C15,"PX_LAST",BA$5,BA$5),"")</f>
        <v>0</v>
      </c>
      <c r="BB15" s="27">
        <f>IFERROR(BDH(C15,"PX_LAST",BB$5,BB$5),"")</f>
        <v>0</v>
      </c>
      <c r="BC15" s="27">
        <f>IFERROR(BDH(C15,"PX_LAST",BC$5,BC$5),"")</f>
        <v>0</v>
      </c>
    </row>
    <row r="16" spans="1:55" ht="20" customHeight="1">
      <c r="A16">
        <f>IFERROR(LARGE(SFR!$G:$G,11),0)</f>
        <v>0</v>
      </c>
      <c r="B16">
        <f>IFERROR(MATCH(A16,SFR!$G:$G,0),0)</f>
        <v>0</v>
      </c>
      <c r="C16" s="20">
        <f>IFERROR(INDEX(SFR!$D:$D,B16),"")</f>
        <v>0</v>
      </c>
      <c r="D16" s="21">
        <f>IFERROR(INDEX(SFR!$C:$C,B16),"")</f>
        <v>0</v>
      </c>
      <c r="E16" s="22">
        <f>IFERROR(BDP(C16,"BID_SIZE"),"")</f>
        <v>0</v>
      </c>
      <c r="F16" s="23">
        <f>IFERROR(BDP(C16,"PX_BID"),"")</f>
        <v>0</v>
      </c>
      <c r="G16" s="23">
        <f>IFERROR(BDP(C16,"PX_ASK"),"")</f>
        <v>0</v>
      </c>
      <c r="H16" s="22">
        <f>IFERROR(BDP(C16,"ASK_SIZE"),"")</f>
        <v>0</v>
      </c>
      <c r="I16" s="22">
        <f>IFERROR(BDP(C16,"VOLUME"),"")</f>
        <v>0</v>
      </c>
      <c r="J16" s="23">
        <f>IFERROR(BDP(C16,"PX_LAST"),"")</f>
        <v>0</v>
      </c>
      <c r="K16" s="21">
        <f>IFERROR(BDP(C16,"LAST_UPDATE_DT_EXCH_TZ"),"")</f>
        <v>0</v>
      </c>
      <c r="L16" s="24">
        <f>IFERROR(INDEX(SFR!$B:$B,B16),"")</f>
        <v>0</v>
      </c>
      <c r="AC16" s="25">
        <f>IFERROR(AVERAGE(AG16:BC16),"")</f>
        <v>0</v>
      </c>
      <c r="AD16" s="25">
        <f>IFERROR(STDEV(AG16:BC16),"")</f>
        <v>0</v>
      </c>
      <c r="AE16" s="26">
        <f>IFERROR(IF(AD16=0,"",(J16-AC16)/AD16),"")</f>
        <v>0</v>
      </c>
      <c r="AG16" s="27">
        <f>IFERROR(BDH(C16,"PX_LAST",AG$5,AG$5),"")</f>
        <v>0</v>
      </c>
      <c r="AH16" s="27">
        <f>IFERROR(BDH(C16,"PX_LAST",AH$5,AH$5),"")</f>
        <v>0</v>
      </c>
      <c r="AI16" s="27">
        <f>IFERROR(BDH(C16,"PX_LAST",AI$5,AI$5),"")</f>
        <v>0</v>
      </c>
      <c r="AJ16" s="27">
        <f>IFERROR(BDH(C16,"PX_LAST",AJ$5,AJ$5),"")</f>
        <v>0</v>
      </c>
      <c r="AK16" s="27">
        <f>IFERROR(BDH(C16,"PX_LAST",AK$5,AK$5),"")</f>
        <v>0</v>
      </c>
      <c r="AL16" s="27">
        <f>IFERROR(BDH(C16,"PX_LAST",AL$5,AL$5),"")</f>
        <v>0</v>
      </c>
      <c r="AM16" s="27">
        <f>IFERROR(BDH(C16,"PX_LAST",AM$5,AM$5),"")</f>
        <v>0</v>
      </c>
      <c r="AN16" s="27">
        <f>IFERROR(BDH(C16,"PX_LAST",AN$5,AN$5),"")</f>
        <v>0</v>
      </c>
      <c r="AO16" s="27">
        <f>IFERROR(BDH(C16,"PX_LAST",AO$5,AO$5),"")</f>
        <v>0</v>
      </c>
      <c r="AP16" s="27">
        <f>IFERROR(BDH(C16,"PX_LAST",AP$5,AP$5),"")</f>
        <v>0</v>
      </c>
      <c r="AQ16" s="27">
        <f>IFERROR(BDH(C16,"PX_LAST",AQ$5,AQ$5),"")</f>
        <v>0</v>
      </c>
      <c r="AR16" s="27">
        <f>IFERROR(BDH(C16,"PX_LAST",AR$5,AR$5),"")</f>
        <v>0</v>
      </c>
      <c r="AS16" s="27">
        <f>IFERROR(BDH(C16,"PX_LAST",AS$5,AS$5),"")</f>
        <v>0</v>
      </c>
      <c r="AT16" s="27">
        <f>IFERROR(BDH(C16,"PX_LAST",AT$5,AT$5),"")</f>
        <v>0</v>
      </c>
      <c r="AU16" s="27">
        <f>IFERROR(BDH(C16,"PX_LAST",AU$5,AU$5),"")</f>
        <v>0</v>
      </c>
      <c r="AV16" s="27">
        <f>IFERROR(BDH(C16,"PX_LAST",AV$5,AV$5),"")</f>
        <v>0</v>
      </c>
      <c r="AW16" s="27">
        <f>IFERROR(BDH(C16,"PX_LAST",AW$5,AW$5),"")</f>
        <v>0</v>
      </c>
      <c r="AX16" s="27">
        <f>IFERROR(BDH(C16,"PX_LAST",AX$5,AX$5),"")</f>
        <v>0</v>
      </c>
      <c r="AY16" s="27">
        <f>IFERROR(BDH(C16,"PX_LAST",AY$5,AY$5),"")</f>
        <v>0</v>
      </c>
      <c r="AZ16" s="27">
        <f>IFERROR(BDH(C16,"PX_LAST",AZ$5,AZ$5),"")</f>
        <v>0</v>
      </c>
      <c r="BA16" s="27">
        <f>IFERROR(BDH(C16,"PX_LAST",BA$5,BA$5),"")</f>
        <v>0</v>
      </c>
      <c r="BB16" s="27">
        <f>IFERROR(BDH(C16,"PX_LAST",BB$5,BB$5),"")</f>
        <v>0</v>
      </c>
      <c r="BC16" s="27">
        <f>IFERROR(BDH(C16,"PX_LAST",BC$5,BC$5),"")</f>
        <v>0</v>
      </c>
    </row>
    <row r="17" spans="1:55" ht="20" customHeight="1">
      <c r="A17">
        <f>IFERROR(LARGE(SFR!$G:$G,12),0)</f>
        <v>0</v>
      </c>
      <c r="B17">
        <f>IFERROR(MATCH(A17,SFR!$G:$G,0),0)</f>
        <v>0</v>
      </c>
      <c r="C17" s="20">
        <f>IFERROR(INDEX(SFR!$D:$D,B17),"")</f>
        <v>0</v>
      </c>
      <c r="D17" s="21">
        <f>IFERROR(INDEX(SFR!$C:$C,B17),"")</f>
        <v>0</v>
      </c>
      <c r="E17" s="22">
        <f>IFERROR(BDP(C17,"BID_SIZE"),"")</f>
        <v>0</v>
      </c>
      <c r="F17" s="23">
        <f>IFERROR(BDP(C17,"PX_BID"),"")</f>
        <v>0</v>
      </c>
      <c r="G17" s="23">
        <f>IFERROR(BDP(C17,"PX_ASK"),"")</f>
        <v>0</v>
      </c>
      <c r="H17" s="22">
        <f>IFERROR(BDP(C17,"ASK_SIZE"),"")</f>
        <v>0</v>
      </c>
      <c r="I17" s="22">
        <f>IFERROR(BDP(C17,"VOLUME"),"")</f>
        <v>0</v>
      </c>
      <c r="J17" s="23">
        <f>IFERROR(BDP(C17,"PX_LAST"),"")</f>
        <v>0</v>
      </c>
      <c r="K17" s="21">
        <f>IFERROR(BDP(C17,"LAST_UPDATE_DT_EXCH_TZ"),"")</f>
        <v>0</v>
      </c>
      <c r="L17" s="24">
        <f>IFERROR(INDEX(SFR!$B:$B,B17),"")</f>
        <v>0</v>
      </c>
      <c r="AC17" s="25">
        <f>IFERROR(AVERAGE(AG17:BC17),"")</f>
        <v>0</v>
      </c>
      <c r="AD17" s="25">
        <f>IFERROR(STDEV(AG17:BC17),"")</f>
        <v>0</v>
      </c>
      <c r="AE17" s="26">
        <f>IFERROR(IF(AD17=0,"",(J17-AC17)/AD17),"")</f>
        <v>0</v>
      </c>
      <c r="AG17" s="27">
        <f>IFERROR(BDH(C17,"PX_LAST",AG$5,AG$5),"")</f>
        <v>0</v>
      </c>
      <c r="AH17" s="27">
        <f>IFERROR(BDH(C17,"PX_LAST",AH$5,AH$5),"")</f>
        <v>0</v>
      </c>
      <c r="AI17" s="27">
        <f>IFERROR(BDH(C17,"PX_LAST",AI$5,AI$5),"")</f>
        <v>0</v>
      </c>
      <c r="AJ17" s="27">
        <f>IFERROR(BDH(C17,"PX_LAST",AJ$5,AJ$5),"")</f>
        <v>0</v>
      </c>
      <c r="AK17" s="27">
        <f>IFERROR(BDH(C17,"PX_LAST",AK$5,AK$5),"")</f>
        <v>0</v>
      </c>
      <c r="AL17" s="27">
        <f>IFERROR(BDH(C17,"PX_LAST",AL$5,AL$5),"")</f>
        <v>0</v>
      </c>
      <c r="AM17" s="27">
        <f>IFERROR(BDH(C17,"PX_LAST",AM$5,AM$5),"")</f>
        <v>0</v>
      </c>
      <c r="AN17" s="27">
        <f>IFERROR(BDH(C17,"PX_LAST",AN$5,AN$5),"")</f>
        <v>0</v>
      </c>
      <c r="AO17" s="27">
        <f>IFERROR(BDH(C17,"PX_LAST",AO$5,AO$5),"")</f>
        <v>0</v>
      </c>
      <c r="AP17" s="27">
        <f>IFERROR(BDH(C17,"PX_LAST",AP$5,AP$5),"")</f>
        <v>0</v>
      </c>
      <c r="AQ17" s="27">
        <f>IFERROR(BDH(C17,"PX_LAST",AQ$5,AQ$5),"")</f>
        <v>0</v>
      </c>
      <c r="AR17" s="27">
        <f>IFERROR(BDH(C17,"PX_LAST",AR$5,AR$5),"")</f>
        <v>0</v>
      </c>
      <c r="AS17" s="27">
        <f>IFERROR(BDH(C17,"PX_LAST",AS$5,AS$5),"")</f>
        <v>0</v>
      </c>
      <c r="AT17" s="27">
        <f>IFERROR(BDH(C17,"PX_LAST",AT$5,AT$5),"")</f>
        <v>0</v>
      </c>
      <c r="AU17" s="27">
        <f>IFERROR(BDH(C17,"PX_LAST",AU$5,AU$5),"")</f>
        <v>0</v>
      </c>
      <c r="AV17" s="27">
        <f>IFERROR(BDH(C17,"PX_LAST",AV$5,AV$5),"")</f>
        <v>0</v>
      </c>
      <c r="AW17" s="27">
        <f>IFERROR(BDH(C17,"PX_LAST",AW$5,AW$5),"")</f>
        <v>0</v>
      </c>
      <c r="AX17" s="27">
        <f>IFERROR(BDH(C17,"PX_LAST",AX$5,AX$5),"")</f>
        <v>0</v>
      </c>
      <c r="AY17" s="27">
        <f>IFERROR(BDH(C17,"PX_LAST",AY$5,AY$5),"")</f>
        <v>0</v>
      </c>
      <c r="AZ17" s="27">
        <f>IFERROR(BDH(C17,"PX_LAST",AZ$5,AZ$5),"")</f>
        <v>0</v>
      </c>
      <c r="BA17" s="27">
        <f>IFERROR(BDH(C17,"PX_LAST",BA$5,BA$5),"")</f>
        <v>0</v>
      </c>
      <c r="BB17" s="27">
        <f>IFERROR(BDH(C17,"PX_LAST",BB$5,BB$5),"")</f>
        <v>0</v>
      </c>
      <c r="BC17" s="27">
        <f>IFERROR(BDH(C17,"PX_LAST",BC$5,BC$5),"")</f>
        <v>0</v>
      </c>
    </row>
    <row r="18" spans="1:55" ht="20" customHeight="1">
      <c r="A18">
        <f>IFERROR(LARGE(SFR!$G:$G,13),0)</f>
        <v>0</v>
      </c>
      <c r="B18">
        <f>IFERROR(MATCH(A18,SFR!$G:$G,0),0)</f>
        <v>0</v>
      </c>
      <c r="C18" s="20">
        <f>IFERROR(INDEX(SFR!$D:$D,B18),"")</f>
        <v>0</v>
      </c>
      <c r="D18" s="21">
        <f>IFERROR(INDEX(SFR!$C:$C,B18),"")</f>
        <v>0</v>
      </c>
      <c r="E18" s="22">
        <f>IFERROR(BDP(C18,"BID_SIZE"),"")</f>
        <v>0</v>
      </c>
      <c r="F18" s="23">
        <f>IFERROR(BDP(C18,"PX_BID"),"")</f>
        <v>0</v>
      </c>
      <c r="G18" s="23">
        <f>IFERROR(BDP(C18,"PX_ASK"),"")</f>
        <v>0</v>
      </c>
      <c r="H18" s="22">
        <f>IFERROR(BDP(C18,"ASK_SIZE"),"")</f>
        <v>0</v>
      </c>
      <c r="I18" s="22">
        <f>IFERROR(BDP(C18,"VOLUME"),"")</f>
        <v>0</v>
      </c>
      <c r="J18" s="23">
        <f>IFERROR(BDP(C18,"PX_LAST"),"")</f>
        <v>0</v>
      </c>
      <c r="K18" s="21">
        <f>IFERROR(BDP(C18,"LAST_UPDATE_DT_EXCH_TZ"),"")</f>
        <v>0</v>
      </c>
      <c r="L18" s="24">
        <f>IFERROR(INDEX(SFR!$B:$B,B18),"")</f>
        <v>0</v>
      </c>
      <c r="AC18" s="25">
        <f>IFERROR(AVERAGE(AG18:BC18),"")</f>
        <v>0</v>
      </c>
      <c r="AD18" s="25">
        <f>IFERROR(STDEV(AG18:BC18),"")</f>
        <v>0</v>
      </c>
      <c r="AE18" s="26">
        <f>IFERROR(IF(AD18=0,"",(J18-AC18)/AD18),"")</f>
        <v>0</v>
      </c>
      <c r="AG18" s="27">
        <f>IFERROR(BDH(C18,"PX_LAST",AG$5,AG$5),"")</f>
        <v>0</v>
      </c>
      <c r="AH18" s="27">
        <f>IFERROR(BDH(C18,"PX_LAST",AH$5,AH$5),"")</f>
        <v>0</v>
      </c>
      <c r="AI18" s="27">
        <f>IFERROR(BDH(C18,"PX_LAST",AI$5,AI$5),"")</f>
        <v>0</v>
      </c>
      <c r="AJ18" s="27">
        <f>IFERROR(BDH(C18,"PX_LAST",AJ$5,AJ$5),"")</f>
        <v>0</v>
      </c>
      <c r="AK18" s="27">
        <f>IFERROR(BDH(C18,"PX_LAST",AK$5,AK$5),"")</f>
        <v>0</v>
      </c>
      <c r="AL18" s="27">
        <f>IFERROR(BDH(C18,"PX_LAST",AL$5,AL$5),"")</f>
        <v>0</v>
      </c>
      <c r="AM18" s="27">
        <f>IFERROR(BDH(C18,"PX_LAST",AM$5,AM$5),"")</f>
        <v>0</v>
      </c>
      <c r="AN18" s="27">
        <f>IFERROR(BDH(C18,"PX_LAST",AN$5,AN$5),"")</f>
        <v>0</v>
      </c>
      <c r="AO18" s="27">
        <f>IFERROR(BDH(C18,"PX_LAST",AO$5,AO$5),"")</f>
        <v>0</v>
      </c>
      <c r="AP18" s="27">
        <f>IFERROR(BDH(C18,"PX_LAST",AP$5,AP$5),"")</f>
        <v>0</v>
      </c>
      <c r="AQ18" s="27">
        <f>IFERROR(BDH(C18,"PX_LAST",AQ$5,AQ$5),"")</f>
        <v>0</v>
      </c>
      <c r="AR18" s="27">
        <f>IFERROR(BDH(C18,"PX_LAST",AR$5,AR$5),"")</f>
        <v>0</v>
      </c>
      <c r="AS18" s="27">
        <f>IFERROR(BDH(C18,"PX_LAST",AS$5,AS$5),"")</f>
        <v>0</v>
      </c>
      <c r="AT18" s="27">
        <f>IFERROR(BDH(C18,"PX_LAST",AT$5,AT$5),"")</f>
        <v>0</v>
      </c>
      <c r="AU18" s="27">
        <f>IFERROR(BDH(C18,"PX_LAST",AU$5,AU$5),"")</f>
        <v>0</v>
      </c>
      <c r="AV18" s="27">
        <f>IFERROR(BDH(C18,"PX_LAST",AV$5,AV$5),"")</f>
        <v>0</v>
      </c>
      <c r="AW18" s="27">
        <f>IFERROR(BDH(C18,"PX_LAST",AW$5,AW$5),"")</f>
        <v>0</v>
      </c>
      <c r="AX18" s="27">
        <f>IFERROR(BDH(C18,"PX_LAST",AX$5,AX$5),"")</f>
        <v>0</v>
      </c>
      <c r="AY18" s="27">
        <f>IFERROR(BDH(C18,"PX_LAST",AY$5,AY$5),"")</f>
        <v>0</v>
      </c>
      <c r="AZ18" s="27">
        <f>IFERROR(BDH(C18,"PX_LAST",AZ$5,AZ$5),"")</f>
        <v>0</v>
      </c>
      <c r="BA18" s="27">
        <f>IFERROR(BDH(C18,"PX_LAST",BA$5,BA$5),"")</f>
        <v>0</v>
      </c>
      <c r="BB18" s="27">
        <f>IFERROR(BDH(C18,"PX_LAST",BB$5,BB$5),"")</f>
        <v>0</v>
      </c>
      <c r="BC18" s="27">
        <f>IFERROR(BDH(C18,"PX_LAST",BC$5,BC$5),"")</f>
        <v>0</v>
      </c>
    </row>
    <row r="19" spans="1:55" ht="20" customHeight="1">
      <c r="A19">
        <f>IFERROR(LARGE(SFR!$G:$G,14),0)</f>
        <v>0</v>
      </c>
      <c r="B19">
        <f>IFERROR(MATCH(A19,SFR!$G:$G,0),0)</f>
        <v>0</v>
      </c>
      <c r="C19" s="20">
        <f>IFERROR(INDEX(SFR!$D:$D,B19),"")</f>
        <v>0</v>
      </c>
      <c r="D19" s="21">
        <f>IFERROR(INDEX(SFR!$C:$C,B19),"")</f>
        <v>0</v>
      </c>
      <c r="E19" s="22">
        <f>IFERROR(BDP(C19,"BID_SIZE"),"")</f>
        <v>0</v>
      </c>
      <c r="F19" s="23">
        <f>IFERROR(BDP(C19,"PX_BID"),"")</f>
        <v>0</v>
      </c>
      <c r="G19" s="23">
        <f>IFERROR(BDP(C19,"PX_ASK"),"")</f>
        <v>0</v>
      </c>
      <c r="H19" s="22">
        <f>IFERROR(BDP(C19,"ASK_SIZE"),"")</f>
        <v>0</v>
      </c>
      <c r="I19" s="22">
        <f>IFERROR(BDP(C19,"VOLUME"),"")</f>
        <v>0</v>
      </c>
      <c r="J19" s="23">
        <f>IFERROR(BDP(C19,"PX_LAST"),"")</f>
        <v>0</v>
      </c>
      <c r="K19" s="21">
        <f>IFERROR(BDP(C19,"LAST_UPDATE_DT_EXCH_TZ"),"")</f>
        <v>0</v>
      </c>
      <c r="L19" s="24">
        <f>IFERROR(INDEX(SFR!$B:$B,B19),"")</f>
        <v>0</v>
      </c>
      <c r="AC19" s="25">
        <f>IFERROR(AVERAGE(AG19:BC19),"")</f>
        <v>0</v>
      </c>
      <c r="AD19" s="25">
        <f>IFERROR(STDEV(AG19:BC19),"")</f>
        <v>0</v>
      </c>
      <c r="AE19" s="26">
        <f>IFERROR(IF(AD19=0,"",(J19-AC19)/AD19),"")</f>
        <v>0</v>
      </c>
      <c r="AG19" s="27">
        <f>IFERROR(BDH(C19,"PX_LAST",AG$5,AG$5),"")</f>
        <v>0</v>
      </c>
      <c r="AH19" s="27">
        <f>IFERROR(BDH(C19,"PX_LAST",AH$5,AH$5),"")</f>
        <v>0</v>
      </c>
      <c r="AI19" s="27">
        <f>IFERROR(BDH(C19,"PX_LAST",AI$5,AI$5),"")</f>
        <v>0</v>
      </c>
      <c r="AJ19" s="27">
        <f>IFERROR(BDH(C19,"PX_LAST",AJ$5,AJ$5),"")</f>
        <v>0</v>
      </c>
      <c r="AK19" s="27">
        <f>IFERROR(BDH(C19,"PX_LAST",AK$5,AK$5),"")</f>
        <v>0</v>
      </c>
      <c r="AL19" s="27">
        <f>IFERROR(BDH(C19,"PX_LAST",AL$5,AL$5),"")</f>
        <v>0</v>
      </c>
      <c r="AM19" s="27">
        <f>IFERROR(BDH(C19,"PX_LAST",AM$5,AM$5),"")</f>
        <v>0</v>
      </c>
      <c r="AN19" s="27">
        <f>IFERROR(BDH(C19,"PX_LAST",AN$5,AN$5),"")</f>
        <v>0</v>
      </c>
      <c r="AO19" s="27">
        <f>IFERROR(BDH(C19,"PX_LAST",AO$5,AO$5),"")</f>
        <v>0</v>
      </c>
      <c r="AP19" s="27">
        <f>IFERROR(BDH(C19,"PX_LAST",AP$5,AP$5),"")</f>
        <v>0</v>
      </c>
      <c r="AQ19" s="27">
        <f>IFERROR(BDH(C19,"PX_LAST",AQ$5,AQ$5),"")</f>
        <v>0</v>
      </c>
      <c r="AR19" s="27">
        <f>IFERROR(BDH(C19,"PX_LAST",AR$5,AR$5),"")</f>
        <v>0</v>
      </c>
      <c r="AS19" s="27">
        <f>IFERROR(BDH(C19,"PX_LAST",AS$5,AS$5),"")</f>
        <v>0</v>
      </c>
      <c r="AT19" s="27">
        <f>IFERROR(BDH(C19,"PX_LAST",AT$5,AT$5),"")</f>
        <v>0</v>
      </c>
      <c r="AU19" s="27">
        <f>IFERROR(BDH(C19,"PX_LAST",AU$5,AU$5),"")</f>
        <v>0</v>
      </c>
      <c r="AV19" s="27">
        <f>IFERROR(BDH(C19,"PX_LAST",AV$5,AV$5),"")</f>
        <v>0</v>
      </c>
      <c r="AW19" s="27">
        <f>IFERROR(BDH(C19,"PX_LAST",AW$5,AW$5),"")</f>
        <v>0</v>
      </c>
      <c r="AX19" s="27">
        <f>IFERROR(BDH(C19,"PX_LAST",AX$5,AX$5),"")</f>
        <v>0</v>
      </c>
      <c r="AY19" s="27">
        <f>IFERROR(BDH(C19,"PX_LAST",AY$5,AY$5),"")</f>
        <v>0</v>
      </c>
      <c r="AZ19" s="27">
        <f>IFERROR(BDH(C19,"PX_LAST",AZ$5,AZ$5),"")</f>
        <v>0</v>
      </c>
      <c r="BA19" s="27">
        <f>IFERROR(BDH(C19,"PX_LAST",BA$5,BA$5),"")</f>
        <v>0</v>
      </c>
      <c r="BB19" s="27">
        <f>IFERROR(BDH(C19,"PX_LAST",BB$5,BB$5),"")</f>
        <v>0</v>
      </c>
      <c r="BC19" s="27">
        <f>IFERROR(BDH(C19,"PX_LAST",BC$5,BC$5),"")</f>
        <v>0</v>
      </c>
    </row>
    <row r="20" spans="1:55" ht="20" customHeight="1">
      <c r="A20">
        <f>IFERROR(LARGE(SFR!$G:$G,15),0)</f>
        <v>0</v>
      </c>
      <c r="B20">
        <f>IFERROR(MATCH(A20,SFR!$G:$G,0),0)</f>
        <v>0</v>
      </c>
      <c r="C20" s="20">
        <f>IFERROR(INDEX(SFR!$D:$D,B20),"")</f>
        <v>0</v>
      </c>
      <c r="D20" s="21">
        <f>IFERROR(INDEX(SFR!$C:$C,B20),"")</f>
        <v>0</v>
      </c>
      <c r="E20" s="22">
        <f>IFERROR(BDP(C20,"BID_SIZE"),"")</f>
        <v>0</v>
      </c>
      <c r="F20" s="23">
        <f>IFERROR(BDP(C20,"PX_BID"),"")</f>
        <v>0</v>
      </c>
      <c r="G20" s="23">
        <f>IFERROR(BDP(C20,"PX_ASK"),"")</f>
        <v>0</v>
      </c>
      <c r="H20" s="22">
        <f>IFERROR(BDP(C20,"ASK_SIZE"),"")</f>
        <v>0</v>
      </c>
      <c r="I20" s="22">
        <f>IFERROR(BDP(C20,"VOLUME"),"")</f>
        <v>0</v>
      </c>
      <c r="J20" s="23">
        <f>IFERROR(BDP(C20,"PX_LAST"),"")</f>
        <v>0</v>
      </c>
      <c r="K20" s="21">
        <f>IFERROR(BDP(C20,"LAST_UPDATE_DT_EXCH_TZ"),"")</f>
        <v>0</v>
      </c>
      <c r="L20" s="24">
        <f>IFERROR(INDEX(SFR!$B:$B,B20),"")</f>
        <v>0</v>
      </c>
      <c r="AC20" s="25">
        <f>IFERROR(AVERAGE(AG20:BC20),"")</f>
        <v>0</v>
      </c>
      <c r="AD20" s="25">
        <f>IFERROR(STDEV(AG20:BC20),"")</f>
        <v>0</v>
      </c>
      <c r="AE20" s="26">
        <f>IFERROR(IF(AD20=0,"",(J20-AC20)/AD20),"")</f>
        <v>0</v>
      </c>
      <c r="AG20" s="27">
        <f>IFERROR(BDH(C20,"PX_LAST",AG$5,AG$5),"")</f>
        <v>0</v>
      </c>
      <c r="AH20" s="27">
        <f>IFERROR(BDH(C20,"PX_LAST",AH$5,AH$5),"")</f>
        <v>0</v>
      </c>
      <c r="AI20" s="27">
        <f>IFERROR(BDH(C20,"PX_LAST",AI$5,AI$5),"")</f>
        <v>0</v>
      </c>
      <c r="AJ20" s="27">
        <f>IFERROR(BDH(C20,"PX_LAST",AJ$5,AJ$5),"")</f>
        <v>0</v>
      </c>
      <c r="AK20" s="27">
        <f>IFERROR(BDH(C20,"PX_LAST",AK$5,AK$5),"")</f>
        <v>0</v>
      </c>
      <c r="AL20" s="27">
        <f>IFERROR(BDH(C20,"PX_LAST",AL$5,AL$5),"")</f>
        <v>0</v>
      </c>
      <c r="AM20" s="27">
        <f>IFERROR(BDH(C20,"PX_LAST",AM$5,AM$5),"")</f>
        <v>0</v>
      </c>
      <c r="AN20" s="27">
        <f>IFERROR(BDH(C20,"PX_LAST",AN$5,AN$5),"")</f>
        <v>0</v>
      </c>
      <c r="AO20" s="27">
        <f>IFERROR(BDH(C20,"PX_LAST",AO$5,AO$5),"")</f>
        <v>0</v>
      </c>
      <c r="AP20" s="27">
        <f>IFERROR(BDH(C20,"PX_LAST",AP$5,AP$5),"")</f>
        <v>0</v>
      </c>
      <c r="AQ20" s="27">
        <f>IFERROR(BDH(C20,"PX_LAST",AQ$5,AQ$5),"")</f>
        <v>0</v>
      </c>
      <c r="AR20" s="27">
        <f>IFERROR(BDH(C20,"PX_LAST",AR$5,AR$5),"")</f>
        <v>0</v>
      </c>
      <c r="AS20" s="27">
        <f>IFERROR(BDH(C20,"PX_LAST",AS$5,AS$5),"")</f>
        <v>0</v>
      </c>
      <c r="AT20" s="27">
        <f>IFERROR(BDH(C20,"PX_LAST",AT$5,AT$5),"")</f>
        <v>0</v>
      </c>
      <c r="AU20" s="27">
        <f>IFERROR(BDH(C20,"PX_LAST",AU$5,AU$5),"")</f>
        <v>0</v>
      </c>
      <c r="AV20" s="27">
        <f>IFERROR(BDH(C20,"PX_LAST",AV$5,AV$5),"")</f>
        <v>0</v>
      </c>
      <c r="AW20" s="27">
        <f>IFERROR(BDH(C20,"PX_LAST",AW$5,AW$5),"")</f>
        <v>0</v>
      </c>
      <c r="AX20" s="27">
        <f>IFERROR(BDH(C20,"PX_LAST",AX$5,AX$5),"")</f>
        <v>0</v>
      </c>
      <c r="AY20" s="27">
        <f>IFERROR(BDH(C20,"PX_LAST",AY$5,AY$5),"")</f>
        <v>0</v>
      </c>
      <c r="AZ20" s="27">
        <f>IFERROR(BDH(C20,"PX_LAST",AZ$5,AZ$5),"")</f>
        <v>0</v>
      </c>
      <c r="BA20" s="27">
        <f>IFERROR(BDH(C20,"PX_LAST",BA$5,BA$5),"")</f>
        <v>0</v>
      </c>
      <c r="BB20" s="27">
        <f>IFERROR(BDH(C20,"PX_LAST",BB$5,BB$5),"")</f>
        <v>0</v>
      </c>
      <c r="BC20" s="27">
        <f>IFERROR(BDH(C20,"PX_LAST",BC$5,BC$5),"")</f>
        <v>0</v>
      </c>
    </row>
    <row r="22" spans="1:55">
      <c r="C22" s="28" t="s">
        <v>1561</v>
      </c>
    </row>
  </sheetData>
  <mergeCells count="1">
    <mergeCell ref="A1:B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Top15'!AG20:BC20</xm:f>
              <xm:sqref>AF20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Top15'!AG19:BC19</xm:f>
              <xm:sqref>AF19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Top15'!AG18:BC18</xm:f>
              <xm:sqref>AF18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Top15'!AG17:BC17</xm:f>
              <xm:sqref>AF17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Top15'!AG16:BC16</xm:f>
              <xm:sqref>AF16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Top15'!AG15:BC15</xm:f>
              <xm:sqref>AF15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Top15'!AG14:BC14</xm:f>
              <xm:sqref>AF14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Top15'!AG13:BC13</xm:f>
              <xm:sqref>AF13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Top15'!AG12:BC12</xm:f>
              <xm:sqref>AF12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Top15'!AG11:BC11</xm:f>
              <xm:sqref>AF11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Top15'!AG10:BC10</xm:f>
              <xm:sqref>AF10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Top15'!AG9:BC9</xm:f>
              <xm:sqref>AF9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Top15'!AG8:BC8</xm:f>
              <xm:sqref>AF8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Top15'!AG7:BC7</xm:f>
              <xm:sqref>AF7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Top15'!AG6:BC6</xm:f>
              <xm:sqref>AF6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BC22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2" width="0" customWidth="1"/>
    <col min="3" max="3" width="24.7109375" customWidth="1"/>
    <col min="4" max="4" width="38.7109375" customWidth="1"/>
    <col min="5" max="5" width="10.7109375" customWidth="1"/>
    <col min="6" max="7" width="9.7109375" customWidth="1"/>
    <col min="8" max="8" width="10.7109375" customWidth="1"/>
    <col min="9" max="9" width="12.7109375" customWidth="1"/>
    <col min="10" max="10" width="11.7109375" customWidth="1"/>
    <col min="11" max="11" width="26.7109375" customWidth="1"/>
    <col min="12" max="12" width="14.7109375" customWidth="1"/>
    <col min="29" max="30" width="11.7109375" customWidth="1"/>
    <col min="31" max="31" width="10.7109375" customWidth="1"/>
    <col min="32" max="32" width="18.7109375" customWidth="1"/>
    <col min="33" max="55" width="7.7109375" customWidth="1"/>
  </cols>
  <sheetData>
    <row r="1" spans="1:55" ht="26" customHeight="1">
      <c r="A1" s="29" t="s">
        <v>1562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</row>
    <row r="2" spans="1:55" ht="5" customHeight="1"/>
    <row r="3" spans="1:55" ht="5" customHeight="1"/>
    <row r="4" spans="1:55" ht="5" customHeight="1"/>
    <row r="5" spans="1:55" ht="30" customHeight="1">
      <c r="C5" s="30" t="s">
        <v>1550</v>
      </c>
      <c r="D5" s="30" t="s">
        <v>2</v>
      </c>
      <c r="E5" s="30" t="s">
        <v>1551</v>
      </c>
      <c r="F5" s="30" t="s">
        <v>7</v>
      </c>
      <c r="G5" s="30" t="s">
        <v>8</v>
      </c>
      <c r="H5" s="30" t="s">
        <v>1552</v>
      </c>
      <c r="I5" s="30" t="s">
        <v>1553</v>
      </c>
      <c r="J5" s="30" t="s">
        <v>1554</v>
      </c>
      <c r="K5" s="30" t="s">
        <v>1555</v>
      </c>
      <c r="L5" s="30" t="s">
        <v>1556</v>
      </c>
      <c r="AC5" s="31" t="s">
        <v>1557</v>
      </c>
      <c r="AD5" s="31" t="s">
        <v>1558</v>
      </c>
      <c r="AE5" s="31" t="s">
        <v>1559</v>
      </c>
      <c r="AF5" s="31" t="s">
        <v>1563</v>
      </c>
      <c r="AG5" s="19">
        <f>WORKDAY(TODAY(),-23)</f>
        <v>0</v>
      </c>
      <c r="AH5" s="19">
        <f>WORKDAY(TODAY(),-22)</f>
        <v>0</v>
      </c>
      <c r="AI5" s="19">
        <f>WORKDAY(TODAY(),-21)</f>
        <v>0</v>
      </c>
      <c r="AJ5" s="19">
        <f>WORKDAY(TODAY(),-20)</f>
        <v>0</v>
      </c>
      <c r="AK5" s="19">
        <f>WORKDAY(TODAY(),-19)</f>
        <v>0</v>
      </c>
      <c r="AL5" s="19">
        <f>WORKDAY(TODAY(),-18)</f>
        <v>0</v>
      </c>
      <c r="AM5" s="19">
        <f>WORKDAY(TODAY(),-17)</f>
        <v>0</v>
      </c>
      <c r="AN5" s="19">
        <f>WORKDAY(TODAY(),-16)</f>
        <v>0</v>
      </c>
      <c r="AO5" s="19">
        <f>WORKDAY(TODAY(),-15)</f>
        <v>0</v>
      </c>
      <c r="AP5" s="19">
        <f>WORKDAY(TODAY(),-14)</f>
        <v>0</v>
      </c>
      <c r="AQ5" s="19">
        <f>WORKDAY(TODAY(),-13)</f>
        <v>0</v>
      </c>
      <c r="AR5" s="19">
        <f>WORKDAY(TODAY(),-12)</f>
        <v>0</v>
      </c>
      <c r="AS5" s="19">
        <f>WORKDAY(TODAY(),-11)</f>
        <v>0</v>
      </c>
      <c r="AT5" s="19">
        <f>WORKDAY(TODAY(),-10)</f>
        <v>0</v>
      </c>
      <c r="AU5" s="19">
        <f>WORKDAY(TODAY(),-9)</f>
        <v>0</v>
      </c>
      <c r="AV5" s="19">
        <f>WORKDAY(TODAY(),-8)</f>
        <v>0</v>
      </c>
      <c r="AW5" s="19">
        <f>WORKDAY(TODAY(),-7)</f>
        <v>0</v>
      </c>
      <c r="AX5" s="19">
        <f>WORKDAY(TODAY(),-6)</f>
        <v>0</v>
      </c>
      <c r="AY5" s="19">
        <f>WORKDAY(TODAY(),-5)</f>
        <v>0</v>
      </c>
      <c r="AZ5" s="19">
        <f>WORKDAY(TODAY(),-4)</f>
        <v>0</v>
      </c>
      <c r="BA5" s="19">
        <f>WORKDAY(TODAY(),-3)</f>
        <v>0</v>
      </c>
      <c r="BB5" s="19">
        <f>WORKDAY(TODAY(),-2)</f>
        <v>0</v>
      </c>
      <c r="BC5" s="19">
        <f>WORKDAY(TODAY(),-1)</f>
        <v>0</v>
      </c>
    </row>
    <row r="6" spans="1:55" ht="20" customHeight="1">
      <c r="A6">
        <f>IFERROR(LARGE(SFI!$G:$G,1),0)</f>
        <v>0</v>
      </c>
      <c r="B6">
        <f>IFERROR(MATCH(A6,SFI!$G:$G,0),0)</f>
        <v>0</v>
      </c>
      <c r="C6" s="32">
        <f>IFERROR(INDEX(SFI!$D:$D,B6),"")</f>
        <v>0</v>
      </c>
      <c r="D6" s="33">
        <f>IFERROR(INDEX(SFI!$C:$C,B6),"")</f>
        <v>0</v>
      </c>
      <c r="E6" s="34">
        <f>IFERROR(BDP(C6,"BID_SIZE"),"")</f>
        <v>0</v>
      </c>
      <c r="F6" s="35">
        <f>IFERROR(BDP(C6,"PX_BID"),"")</f>
        <v>0</v>
      </c>
      <c r="G6" s="35">
        <f>IFERROR(BDP(C6,"PX_ASK"),"")</f>
        <v>0</v>
      </c>
      <c r="H6" s="34">
        <f>IFERROR(BDP(C6,"ASK_SIZE"),"")</f>
        <v>0</v>
      </c>
      <c r="I6" s="34">
        <f>IFERROR(BDP(C6,"VOLUME"),"")</f>
        <v>0</v>
      </c>
      <c r="J6" s="35">
        <f>IFERROR(BDP(C6,"PX_LAST"),"")</f>
        <v>0</v>
      </c>
      <c r="K6" s="33">
        <f>IFERROR(BDP(C6,"LAST_UPDATE_DT_EXCH_TZ"),"")</f>
        <v>0</v>
      </c>
      <c r="L6" s="36">
        <f>IFERROR(INDEX(SFI!$B:$B,B6),"")</f>
        <v>0</v>
      </c>
      <c r="AC6" s="25">
        <f>IFERROR(AVERAGE(AG6:BC6),"")</f>
        <v>0</v>
      </c>
      <c r="AD6" s="25">
        <f>IFERROR(STDEV(AG6:BC6),"")</f>
        <v>0</v>
      </c>
      <c r="AE6" s="26">
        <f>IFERROR(IF(AD6=0,"",(J6-AC6)/AD6),"")</f>
        <v>0</v>
      </c>
      <c r="AG6" s="27">
        <f>IFERROR(BDH(C6,"PX_LAST",AG$5,AG$5),"")</f>
        <v>0</v>
      </c>
      <c r="AH6" s="27">
        <f>IFERROR(BDH(C6,"PX_LAST",AH$5,AH$5),"")</f>
        <v>0</v>
      </c>
      <c r="AI6" s="27">
        <f>IFERROR(BDH(C6,"PX_LAST",AI$5,AI$5),"")</f>
        <v>0</v>
      </c>
      <c r="AJ6" s="27">
        <f>IFERROR(BDH(C6,"PX_LAST",AJ$5,AJ$5),"")</f>
        <v>0</v>
      </c>
      <c r="AK6" s="27">
        <f>IFERROR(BDH(C6,"PX_LAST",AK$5,AK$5),"")</f>
        <v>0</v>
      </c>
      <c r="AL6" s="27">
        <f>IFERROR(BDH(C6,"PX_LAST",AL$5,AL$5),"")</f>
        <v>0</v>
      </c>
      <c r="AM6" s="27">
        <f>IFERROR(BDH(C6,"PX_LAST",AM$5,AM$5),"")</f>
        <v>0</v>
      </c>
      <c r="AN6" s="27">
        <f>IFERROR(BDH(C6,"PX_LAST",AN$5,AN$5),"")</f>
        <v>0</v>
      </c>
      <c r="AO6" s="27">
        <f>IFERROR(BDH(C6,"PX_LAST",AO$5,AO$5),"")</f>
        <v>0</v>
      </c>
      <c r="AP6" s="27">
        <f>IFERROR(BDH(C6,"PX_LAST",AP$5,AP$5),"")</f>
        <v>0</v>
      </c>
      <c r="AQ6" s="27">
        <f>IFERROR(BDH(C6,"PX_LAST",AQ$5,AQ$5),"")</f>
        <v>0</v>
      </c>
      <c r="AR6" s="27">
        <f>IFERROR(BDH(C6,"PX_LAST",AR$5,AR$5),"")</f>
        <v>0</v>
      </c>
      <c r="AS6" s="27">
        <f>IFERROR(BDH(C6,"PX_LAST",AS$5,AS$5),"")</f>
        <v>0</v>
      </c>
      <c r="AT6" s="27">
        <f>IFERROR(BDH(C6,"PX_LAST",AT$5,AT$5),"")</f>
        <v>0</v>
      </c>
      <c r="AU6" s="27">
        <f>IFERROR(BDH(C6,"PX_LAST",AU$5,AU$5),"")</f>
        <v>0</v>
      </c>
      <c r="AV6" s="27">
        <f>IFERROR(BDH(C6,"PX_LAST",AV$5,AV$5),"")</f>
        <v>0</v>
      </c>
      <c r="AW6" s="27">
        <f>IFERROR(BDH(C6,"PX_LAST",AW$5,AW$5),"")</f>
        <v>0</v>
      </c>
      <c r="AX6" s="27">
        <f>IFERROR(BDH(C6,"PX_LAST",AX$5,AX$5),"")</f>
        <v>0</v>
      </c>
      <c r="AY6" s="27">
        <f>IFERROR(BDH(C6,"PX_LAST",AY$5,AY$5),"")</f>
        <v>0</v>
      </c>
      <c r="AZ6" s="27">
        <f>IFERROR(BDH(C6,"PX_LAST",AZ$5,AZ$5),"")</f>
        <v>0</v>
      </c>
      <c r="BA6" s="27">
        <f>IFERROR(BDH(C6,"PX_LAST",BA$5,BA$5),"")</f>
        <v>0</v>
      </c>
      <c r="BB6" s="27">
        <f>IFERROR(BDH(C6,"PX_LAST",BB$5,BB$5),"")</f>
        <v>0</v>
      </c>
      <c r="BC6" s="27">
        <f>IFERROR(BDH(C6,"PX_LAST",BC$5,BC$5),"")</f>
        <v>0</v>
      </c>
    </row>
    <row r="7" spans="1:55" ht="20" customHeight="1">
      <c r="A7">
        <f>IFERROR(LARGE(SFI!$G:$G,2),0)</f>
        <v>0</v>
      </c>
      <c r="B7">
        <f>IFERROR(MATCH(A7,SFI!$G:$G,0),0)</f>
        <v>0</v>
      </c>
      <c r="C7" s="32">
        <f>IFERROR(INDEX(SFI!$D:$D,B7),"")</f>
        <v>0</v>
      </c>
      <c r="D7" s="33">
        <f>IFERROR(INDEX(SFI!$C:$C,B7),"")</f>
        <v>0</v>
      </c>
      <c r="E7" s="34">
        <f>IFERROR(BDP(C7,"BID_SIZE"),"")</f>
        <v>0</v>
      </c>
      <c r="F7" s="35">
        <f>IFERROR(BDP(C7,"PX_BID"),"")</f>
        <v>0</v>
      </c>
      <c r="G7" s="35">
        <f>IFERROR(BDP(C7,"PX_ASK"),"")</f>
        <v>0</v>
      </c>
      <c r="H7" s="34">
        <f>IFERROR(BDP(C7,"ASK_SIZE"),"")</f>
        <v>0</v>
      </c>
      <c r="I7" s="34">
        <f>IFERROR(BDP(C7,"VOLUME"),"")</f>
        <v>0</v>
      </c>
      <c r="J7" s="35">
        <f>IFERROR(BDP(C7,"PX_LAST"),"")</f>
        <v>0</v>
      </c>
      <c r="K7" s="33">
        <f>IFERROR(BDP(C7,"LAST_UPDATE_DT_EXCH_TZ"),"")</f>
        <v>0</v>
      </c>
      <c r="L7" s="36">
        <f>IFERROR(INDEX(SFI!$B:$B,B7),"")</f>
        <v>0</v>
      </c>
      <c r="AC7" s="25">
        <f>IFERROR(AVERAGE(AG7:BC7),"")</f>
        <v>0</v>
      </c>
      <c r="AD7" s="25">
        <f>IFERROR(STDEV(AG7:BC7),"")</f>
        <v>0</v>
      </c>
      <c r="AE7" s="26">
        <f>IFERROR(IF(AD7=0,"",(J7-AC7)/AD7),"")</f>
        <v>0</v>
      </c>
      <c r="AG7" s="27">
        <f>IFERROR(BDH(C7,"PX_LAST",AG$5,AG$5),"")</f>
        <v>0</v>
      </c>
      <c r="AH7" s="27">
        <f>IFERROR(BDH(C7,"PX_LAST",AH$5,AH$5),"")</f>
        <v>0</v>
      </c>
      <c r="AI7" s="27">
        <f>IFERROR(BDH(C7,"PX_LAST",AI$5,AI$5),"")</f>
        <v>0</v>
      </c>
      <c r="AJ7" s="27">
        <f>IFERROR(BDH(C7,"PX_LAST",AJ$5,AJ$5),"")</f>
        <v>0</v>
      </c>
      <c r="AK7" s="27">
        <f>IFERROR(BDH(C7,"PX_LAST",AK$5,AK$5),"")</f>
        <v>0</v>
      </c>
      <c r="AL7" s="27">
        <f>IFERROR(BDH(C7,"PX_LAST",AL$5,AL$5),"")</f>
        <v>0</v>
      </c>
      <c r="AM7" s="27">
        <f>IFERROR(BDH(C7,"PX_LAST",AM$5,AM$5),"")</f>
        <v>0</v>
      </c>
      <c r="AN7" s="27">
        <f>IFERROR(BDH(C7,"PX_LAST",AN$5,AN$5),"")</f>
        <v>0</v>
      </c>
      <c r="AO7" s="27">
        <f>IFERROR(BDH(C7,"PX_LAST",AO$5,AO$5),"")</f>
        <v>0</v>
      </c>
      <c r="AP7" s="27">
        <f>IFERROR(BDH(C7,"PX_LAST",AP$5,AP$5),"")</f>
        <v>0</v>
      </c>
      <c r="AQ7" s="27">
        <f>IFERROR(BDH(C7,"PX_LAST",AQ$5,AQ$5),"")</f>
        <v>0</v>
      </c>
      <c r="AR7" s="27">
        <f>IFERROR(BDH(C7,"PX_LAST",AR$5,AR$5),"")</f>
        <v>0</v>
      </c>
      <c r="AS7" s="27">
        <f>IFERROR(BDH(C7,"PX_LAST",AS$5,AS$5),"")</f>
        <v>0</v>
      </c>
      <c r="AT7" s="27">
        <f>IFERROR(BDH(C7,"PX_LAST",AT$5,AT$5),"")</f>
        <v>0</v>
      </c>
      <c r="AU7" s="27">
        <f>IFERROR(BDH(C7,"PX_LAST",AU$5,AU$5),"")</f>
        <v>0</v>
      </c>
      <c r="AV7" s="27">
        <f>IFERROR(BDH(C7,"PX_LAST",AV$5,AV$5),"")</f>
        <v>0</v>
      </c>
      <c r="AW7" s="27">
        <f>IFERROR(BDH(C7,"PX_LAST",AW$5,AW$5),"")</f>
        <v>0</v>
      </c>
      <c r="AX7" s="27">
        <f>IFERROR(BDH(C7,"PX_LAST",AX$5,AX$5),"")</f>
        <v>0</v>
      </c>
      <c r="AY7" s="27">
        <f>IFERROR(BDH(C7,"PX_LAST",AY$5,AY$5),"")</f>
        <v>0</v>
      </c>
      <c r="AZ7" s="27">
        <f>IFERROR(BDH(C7,"PX_LAST",AZ$5,AZ$5),"")</f>
        <v>0</v>
      </c>
      <c r="BA7" s="27">
        <f>IFERROR(BDH(C7,"PX_LAST",BA$5,BA$5),"")</f>
        <v>0</v>
      </c>
      <c r="BB7" s="27">
        <f>IFERROR(BDH(C7,"PX_LAST",BB$5,BB$5),"")</f>
        <v>0</v>
      </c>
      <c r="BC7" s="27">
        <f>IFERROR(BDH(C7,"PX_LAST",BC$5,BC$5),"")</f>
        <v>0</v>
      </c>
    </row>
    <row r="8" spans="1:55" ht="20" customHeight="1">
      <c r="A8">
        <f>IFERROR(LARGE(SFI!$G:$G,3),0)</f>
        <v>0</v>
      </c>
      <c r="B8">
        <f>IFERROR(MATCH(A8,SFI!$G:$G,0),0)</f>
        <v>0</v>
      </c>
      <c r="C8" s="32">
        <f>IFERROR(INDEX(SFI!$D:$D,B8),"")</f>
        <v>0</v>
      </c>
      <c r="D8" s="33">
        <f>IFERROR(INDEX(SFI!$C:$C,B8),"")</f>
        <v>0</v>
      </c>
      <c r="E8" s="34">
        <f>IFERROR(BDP(C8,"BID_SIZE"),"")</f>
        <v>0</v>
      </c>
      <c r="F8" s="35">
        <f>IFERROR(BDP(C8,"PX_BID"),"")</f>
        <v>0</v>
      </c>
      <c r="G8" s="35">
        <f>IFERROR(BDP(C8,"PX_ASK"),"")</f>
        <v>0</v>
      </c>
      <c r="H8" s="34">
        <f>IFERROR(BDP(C8,"ASK_SIZE"),"")</f>
        <v>0</v>
      </c>
      <c r="I8" s="34">
        <f>IFERROR(BDP(C8,"VOLUME"),"")</f>
        <v>0</v>
      </c>
      <c r="J8" s="35">
        <f>IFERROR(BDP(C8,"PX_LAST"),"")</f>
        <v>0</v>
      </c>
      <c r="K8" s="33">
        <f>IFERROR(BDP(C8,"LAST_UPDATE_DT_EXCH_TZ"),"")</f>
        <v>0</v>
      </c>
      <c r="L8" s="36">
        <f>IFERROR(INDEX(SFI!$B:$B,B8),"")</f>
        <v>0</v>
      </c>
      <c r="AC8" s="25">
        <f>IFERROR(AVERAGE(AG8:BC8),"")</f>
        <v>0</v>
      </c>
      <c r="AD8" s="25">
        <f>IFERROR(STDEV(AG8:BC8),"")</f>
        <v>0</v>
      </c>
      <c r="AE8" s="26">
        <f>IFERROR(IF(AD8=0,"",(J8-AC8)/AD8),"")</f>
        <v>0</v>
      </c>
      <c r="AG8" s="27">
        <f>IFERROR(BDH(C8,"PX_LAST",AG$5,AG$5),"")</f>
        <v>0</v>
      </c>
      <c r="AH8" s="27">
        <f>IFERROR(BDH(C8,"PX_LAST",AH$5,AH$5),"")</f>
        <v>0</v>
      </c>
      <c r="AI8" s="27">
        <f>IFERROR(BDH(C8,"PX_LAST",AI$5,AI$5),"")</f>
        <v>0</v>
      </c>
      <c r="AJ8" s="27">
        <f>IFERROR(BDH(C8,"PX_LAST",AJ$5,AJ$5),"")</f>
        <v>0</v>
      </c>
      <c r="AK8" s="27">
        <f>IFERROR(BDH(C8,"PX_LAST",AK$5,AK$5),"")</f>
        <v>0</v>
      </c>
      <c r="AL8" s="27">
        <f>IFERROR(BDH(C8,"PX_LAST",AL$5,AL$5),"")</f>
        <v>0</v>
      </c>
      <c r="AM8" s="27">
        <f>IFERROR(BDH(C8,"PX_LAST",AM$5,AM$5),"")</f>
        <v>0</v>
      </c>
      <c r="AN8" s="27">
        <f>IFERROR(BDH(C8,"PX_LAST",AN$5,AN$5),"")</f>
        <v>0</v>
      </c>
      <c r="AO8" s="27">
        <f>IFERROR(BDH(C8,"PX_LAST",AO$5,AO$5),"")</f>
        <v>0</v>
      </c>
      <c r="AP8" s="27">
        <f>IFERROR(BDH(C8,"PX_LAST",AP$5,AP$5),"")</f>
        <v>0</v>
      </c>
      <c r="AQ8" s="27">
        <f>IFERROR(BDH(C8,"PX_LAST",AQ$5,AQ$5),"")</f>
        <v>0</v>
      </c>
      <c r="AR8" s="27">
        <f>IFERROR(BDH(C8,"PX_LAST",AR$5,AR$5),"")</f>
        <v>0</v>
      </c>
      <c r="AS8" s="27">
        <f>IFERROR(BDH(C8,"PX_LAST",AS$5,AS$5),"")</f>
        <v>0</v>
      </c>
      <c r="AT8" s="27">
        <f>IFERROR(BDH(C8,"PX_LAST",AT$5,AT$5),"")</f>
        <v>0</v>
      </c>
      <c r="AU8" s="27">
        <f>IFERROR(BDH(C8,"PX_LAST",AU$5,AU$5),"")</f>
        <v>0</v>
      </c>
      <c r="AV8" s="27">
        <f>IFERROR(BDH(C8,"PX_LAST",AV$5,AV$5),"")</f>
        <v>0</v>
      </c>
      <c r="AW8" s="27">
        <f>IFERROR(BDH(C8,"PX_LAST",AW$5,AW$5),"")</f>
        <v>0</v>
      </c>
      <c r="AX8" s="27">
        <f>IFERROR(BDH(C8,"PX_LAST",AX$5,AX$5),"")</f>
        <v>0</v>
      </c>
      <c r="AY8" s="27">
        <f>IFERROR(BDH(C8,"PX_LAST",AY$5,AY$5),"")</f>
        <v>0</v>
      </c>
      <c r="AZ8" s="27">
        <f>IFERROR(BDH(C8,"PX_LAST",AZ$5,AZ$5),"")</f>
        <v>0</v>
      </c>
      <c r="BA8" s="27">
        <f>IFERROR(BDH(C8,"PX_LAST",BA$5,BA$5),"")</f>
        <v>0</v>
      </c>
      <c r="BB8" s="27">
        <f>IFERROR(BDH(C8,"PX_LAST",BB$5,BB$5),"")</f>
        <v>0</v>
      </c>
      <c r="BC8" s="27">
        <f>IFERROR(BDH(C8,"PX_LAST",BC$5,BC$5),"")</f>
        <v>0</v>
      </c>
    </row>
    <row r="9" spans="1:55" ht="20" customHeight="1">
      <c r="A9">
        <f>IFERROR(LARGE(SFI!$G:$G,4),0)</f>
        <v>0</v>
      </c>
      <c r="B9">
        <f>IFERROR(MATCH(A9,SFI!$G:$G,0),0)</f>
        <v>0</v>
      </c>
      <c r="C9" s="32">
        <f>IFERROR(INDEX(SFI!$D:$D,B9),"")</f>
        <v>0</v>
      </c>
      <c r="D9" s="33">
        <f>IFERROR(INDEX(SFI!$C:$C,B9),"")</f>
        <v>0</v>
      </c>
      <c r="E9" s="34">
        <f>IFERROR(BDP(C9,"BID_SIZE"),"")</f>
        <v>0</v>
      </c>
      <c r="F9" s="35">
        <f>IFERROR(BDP(C9,"PX_BID"),"")</f>
        <v>0</v>
      </c>
      <c r="G9" s="35">
        <f>IFERROR(BDP(C9,"PX_ASK"),"")</f>
        <v>0</v>
      </c>
      <c r="H9" s="34">
        <f>IFERROR(BDP(C9,"ASK_SIZE"),"")</f>
        <v>0</v>
      </c>
      <c r="I9" s="34">
        <f>IFERROR(BDP(C9,"VOLUME"),"")</f>
        <v>0</v>
      </c>
      <c r="J9" s="35">
        <f>IFERROR(BDP(C9,"PX_LAST"),"")</f>
        <v>0</v>
      </c>
      <c r="K9" s="33">
        <f>IFERROR(BDP(C9,"LAST_UPDATE_DT_EXCH_TZ"),"")</f>
        <v>0</v>
      </c>
      <c r="L9" s="36">
        <f>IFERROR(INDEX(SFI!$B:$B,B9),"")</f>
        <v>0</v>
      </c>
      <c r="AC9" s="25">
        <f>IFERROR(AVERAGE(AG9:BC9),"")</f>
        <v>0</v>
      </c>
      <c r="AD9" s="25">
        <f>IFERROR(STDEV(AG9:BC9),"")</f>
        <v>0</v>
      </c>
      <c r="AE9" s="26">
        <f>IFERROR(IF(AD9=0,"",(J9-AC9)/AD9),"")</f>
        <v>0</v>
      </c>
      <c r="AG9" s="27">
        <f>IFERROR(BDH(C9,"PX_LAST",AG$5,AG$5),"")</f>
        <v>0</v>
      </c>
      <c r="AH9" s="27">
        <f>IFERROR(BDH(C9,"PX_LAST",AH$5,AH$5),"")</f>
        <v>0</v>
      </c>
      <c r="AI9" s="27">
        <f>IFERROR(BDH(C9,"PX_LAST",AI$5,AI$5),"")</f>
        <v>0</v>
      </c>
      <c r="AJ9" s="27">
        <f>IFERROR(BDH(C9,"PX_LAST",AJ$5,AJ$5),"")</f>
        <v>0</v>
      </c>
      <c r="AK9" s="27">
        <f>IFERROR(BDH(C9,"PX_LAST",AK$5,AK$5),"")</f>
        <v>0</v>
      </c>
      <c r="AL9" s="27">
        <f>IFERROR(BDH(C9,"PX_LAST",AL$5,AL$5),"")</f>
        <v>0</v>
      </c>
      <c r="AM9" s="27">
        <f>IFERROR(BDH(C9,"PX_LAST",AM$5,AM$5),"")</f>
        <v>0</v>
      </c>
      <c r="AN9" s="27">
        <f>IFERROR(BDH(C9,"PX_LAST",AN$5,AN$5),"")</f>
        <v>0</v>
      </c>
      <c r="AO9" s="27">
        <f>IFERROR(BDH(C9,"PX_LAST",AO$5,AO$5),"")</f>
        <v>0</v>
      </c>
      <c r="AP9" s="27">
        <f>IFERROR(BDH(C9,"PX_LAST",AP$5,AP$5),"")</f>
        <v>0</v>
      </c>
      <c r="AQ9" s="27">
        <f>IFERROR(BDH(C9,"PX_LAST",AQ$5,AQ$5),"")</f>
        <v>0</v>
      </c>
      <c r="AR9" s="27">
        <f>IFERROR(BDH(C9,"PX_LAST",AR$5,AR$5),"")</f>
        <v>0</v>
      </c>
      <c r="AS9" s="27">
        <f>IFERROR(BDH(C9,"PX_LAST",AS$5,AS$5),"")</f>
        <v>0</v>
      </c>
      <c r="AT9" s="27">
        <f>IFERROR(BDH(C9,"PX_LAST",AT$5,AT$5),"")</f>
        <v>0</v>
      </c>
      <c r="AU9" s="27">
        <f>IFERROR(BDH(C9,"PX_LAST",AU$5,AU$5),"")</f>
        <v>0</v>
      </c>
      <c r="AV9" s="27">
        <f>IFERROR(BDH(C9,"PX_LAST",AV$5,AV$5),"")</f>
        <v>0</v>
      </c>
      <c r="AW9" s="27">
        <f>IFERROR(BDH(C9,"PX_LAST",AW$5,AW$5),"")</f>
        <v>0</v>
      </c>
      <c r="AX9" s="27">
        <f>IFERROR(BDH(C9,"PX_LAST",AX$5,AX$5),"")</f>
        <v>0</v>
      </c>
      <c r="AY9" s="27">
        <f>IFERROR(BDH(C9,"PX_LAST",AY$5,AY$5),"")</f>
        <v>0</v>
      </c>
      <c r="AZ9" s="27">
        <f>IFERROR(BDH(C9,"PX_LAST",AZ$5,AZ$5),"")</f>
        <v>0</v>
      </c>
      <c r="BA9" s="27">
        <f>IFERROR(BDH(C9,"PX_LAST",BA$5,BA$5),"")</f>
        <v>0</v>
      </c>
      <c r="BB9" s="27">
        <f>IFERROR(BDH(C9,"PX_LAST",BB$5,BB$5),"")</f>
        <v>0</v>
      </c>
      <c r="BC9" s="27">
        <f>IFERROR(BDH(C9,"PX_LAST",BC$5,BC$5),"")</f>
        <v>0</v>
      </c>
    </row>
    <row r="10" spans="1:55" ht="20" customHeight="1">
      <c r="A10">
        <f>IFERROR(LARGE(SFI!$G:$G,5),0)</f>
        <v>0</v>
      </c>
      <c r="B10">
        <f>IFERROR(MATCH(A10,SFI!$G:$G,0),0)</f>
        <v>0</v>
      </c>
      <c r="C10" s="32">
        <f>IFERROR(INDEX(SFI!$D:$D,B10),"")</f>
        <v>0</v>
      </c>
      <c r="D10" s="33">
        <f>IFERROR(INDEX(SFI!$C:$C,B10),"")</f>
        <v>0</v>
      </c>
      <c r="E10" s="34">
        <f>IFERROR(BDP(C10,"BID_SIZE"),"")</f>
        <v>0</v>
      </c>
      <c r="F10" s="35">
        <f>IFERROR(BDP(C10,"PX_BID"),"")</f>
        <v>0</v>
      </c>
      <c r="G10" s="35">
        <f>IFERROR(BDP(C10,"PX_ASK"),"")</f>
        <v>0</v>
      </c>
      <c r="H10" s="34">
        <f>IFERROR(BDP(C10,"ASK_SIZE"),"")</f>
        <v>0</v>
      </c>
      <c r="I10" s="34">
        <f>IFERROR(BDP(C10,"VOLUME"),"")</f>
        <v>0</v>
      </c>
      <c r="J10" s="35">
        <f>IFERROR(BDP(C10,"PX_LAST"),"")</f>
        <v>0</v>
      </c>
      <c r="K10" s="33">
        <f>IFERROR(BDP(C10,"LAST_UPDATE_DT_EXCH_TZ"),"")</f>
        <v>0</v>
      </c>
      <c r="L10" s="36">
        <f>IFERROR(INDEX(SFI!$B:$B,B10),"")</f>
        <v>0</v>
      </c>
      <c r="AC10" s="25">
        <f>IFERROR(AVERAGE(AG10:BC10),"")</f>
        <v>0</v>
      </c>
      <c r="AD10" s="25">
        <f>IFERROR(STDEV(AG10:BC10),"")</f>
        <v>0</v>
      </c>
      <c r="AE10" s="26">
        <f>IFERROR(IF(AD10=0,"",(J10-AC10)/AD10),"")</f>
        <v>0</v>
      </c>
      <c r="AG10" s="27">
        <f>IFERROR(BDH(C10,"PX_LAST",AG$5,AG$5),"")</f>
        <v>0</v>
      </c>
      <c r="AH10" s="27">
        <f>IFERROR(BDH(C10,"PX_LAST",AH$5,AH$5),"")</f>
        <v>0</v>
      </c>
      <c r="AI10" s="27">
        <f>IFERROR(BDH(C10,"PX_LAST",AI$5,AI$5),"")</f>
        <v>0</v>
      </c>
      <c r="AJ10" s="27">
        <f>IFERROR(BDH(C10,"PX_LAST",AJ$5,AJ$5),"")</f>
        <v>0</v>
      </c>
      <c r="AK10" s="27">
        <f>IFERROR(BDH(C10,"PX_LAST",AK$5,AK$5),"")</f>
        <v>0</v>
      </c>
      <c r="AL10" s="27">
        <f>IFERROR(BDH(C10,"PX_LAST",AL$5,AL$5),"")</f>
        <v>0</v>
      </c>
      <c r="AM10" s="27">
        <f>IFERROR(BDH(C10,"PX_LAST",AM$5,AM$5),"")</f>
        <v>0</v>
      </c>
      <c r="AN10" s="27">
        <f>IFERROR(BDH(C10,"PX_LAST",AN$5,AN$5),"")</f>
        <v>0</v>
      </c>
      <c r="AO10" s="27">
        <f>IFERROR(BDH(C10,"PX_LAST",AO$5,AO$5),"")</f>
        <v>0</v>
      </c>
      <c r="AP10" s="27">
        <f>IFERROR(BDH(C10,"PX_LAST",AP$5,AP$5),"")</f>
        <v>0</v>
      </c>
      <c r="AQ10" s="27">
        <f>IFERROR(BDH(C10,"PX_LAST",AQ$5,AQ$5),"")</f>
        <v>0</v>
      </c>
      <c r="AR10" s="27">
        <f>IFERROR(BDH(C10,"PX_LAST",AR$5,AR$5),"")</f>
        <v>0</v>
      </c>
      <c r="AS10" s="27">
        <f>IFERROR(BDH(C10,"PX_LAST",AS$5,AS$5),"")</f>
        <v>0</v>
      </c>
      <c r="AT10" s="27">
        <f>IFERROR(BDH(C10,"PX_LAST",AT$5,AT$5),"")</f>
        <v>0</v>
      </c>
      <c r="AU10" s="27">
        <f>IFERROR(BDH(C10,"PX_LAST",AU$5,AU$5),"")</f>
        <v>0</v>
      </c>
      <c r="AV10" s="27">
        <f>IFERROR(BDH(C10,"PX_LAST",AV$5,AV$5),"")</f>
        <v>0</v>
      </c>
      <c r="AW10" s="27">
        <f>IFERROR(BDH(C10,"PX_LAST",AW$5,AW$5),"")</f>
        <v>0</v>
      </c>
      <c r="AX10" s="27">
        <f>IFERROR(BDH(C10,"PX_LAST",AX$5,AX$5),"")</f>
        <v>0</v>
      </c>
      <c r="AY10" s="27">
        <f>IFERROR(BDH(C10,"PX_LAST",AY$5,AY$5),"")</f>
        <v>0</v>
      </c>
      <c r="AZ10" s="27">
        <f>IFERROR(BDH(C10,"PX_LAST",AZ$5,AZ$5),"")</f>
        <v>0</v>
      </c>
      <c r="BA10" s="27">
        <f>IFERROR(BDH(C10,"PX_LAST",BA$5,BA$5),"")</f>
        <v>0</v>
      </c>
      <c r="BB10" s="27">
        <f>IFERROR(BDH(C10,"PX_LAST",BB$5,BB$5),"")</f>
        <v>0</v>
      </c>
      <c r="BC10" s="27">
        <f>IFERROR(BDH(C10,"PX_LAST",BC$5,BC$5),"")</f>
        <v>0</v>
      </c>
    </row>
    <row r="11" spans="1:55" ht="20" customHeight="1">
      <c r="A11">
        <f>IFERROR(LARGE(SFI!$G:$G,6),0)</f>
        <v>0</v>
      </c>
      <c r="B11">
        <f>IFERROR(MATCH(A11,SFI!$G:$G,0),0)</f>
        <v>0</v>
      </c>
      <c r="C11" s="32">
        <f>IFERROR(INDEX(SFI!$D:$D,B11),"")</f>
        <v>0</v>
      </c>
      <c r="D11" s="33">
        <f>IFERROR(INDEX(SFI!$C:$C,B11),"")</f>
        <v>0</v>
      </c>
      <c r="E11" s="34">
        <f>IFERROR(BDP(C11,"BID_SIZE"),"")</f>
        <v>0</v>
      </c>
      <c r="F11" s="35">
        <f>IFERROR(BDP(C11,"PX_BID"),"")</f>
        <v>0</v>
      </c>
      <c r="G11" s="35">
        <f>IFERROR(BDP(C11,"PX_ASK"),"")</f>
        <v>0</v>
      </c>
      <c r="H11" s="34">
        <f>IFERROR(BDP(C11,"ASK_SIZE"),"")</f>
        <v>0</v>
      </c>
      <c r="I11" s="34">
        <f>IFERROR(BDP(C11,"VOLUME"),"")</f>
        <v>0</v>
      </c>
      <c r="J11" s="35">
        <f>IFERROR(BDP(C11,"PX_LAST"),"")</f>
        <v>0</v>
      </c>
      <c r="K11" s="33">
        <f>IFERROR(BDP(C11,"LAST_UPDATE_DT_EXCH_TZ"),"")</f>
        <v>0</v>
      </c>
      <c r="L11" s="36">
        <f>IFERROR(INDEX(SFI!$B:$B,B11),"")</f>
        <v>0</v>
      </c>
      <c r="AC11" s="25">
        <f>IFERROR(AVERAGE(AG11:BC11),"")</f>
        <v>0</v>
      </c>
      <c r="AD11" s="25">
        <f>IFERROR(STDEV(AG11:BC11),"")</f>
        <v>0</v>
      </c>
      <c r="AE11" s="26">
        <f>IFERROR(IF(AD11=0,"",(J11-AC11)/AD11),"")</f>
        <v>0</v>
      </c>
      <c r="AG11" s="27">
        <f>IFERROR(BDH(C11,"PX_LAST",AG$5,AG$5),"")</f>
        <v>0</v>
      </c>
      <c r="AH11" s="27">
        <f>IFERROR(BDH(C11,"PX_LAST",AH$5,AH$5),"")</f>
        <v>0</v>
      </c>
      <c r="AI11" s="27">
        <f>IFERROR(BDH(C11,"PX_LAST",AI$5,AI$5),"")</f>
        <v>0</v>
      </c>
      <c r="AJ11" s="27">
        <f>IFERROR(BDH(C11,"PX_LAST",AJ$5,AJ$5),"")</f>
        <v>0</v>
      </c>
      <c r="AK11" s="27">
        <f>IFERROR(BDH(C11,"PX_LAST",AK$5,AK$5),"")</f>
        <v>0</v>
      </c>
      <c r="AL11" s="27">
        <f>IFERROR(BDH(C11,"PX_LAST",AL$5,AL$5),"")</f>
        <v>0</v>
      </c>
      <c r="AM11" s="27">
        <f>IFERROR(BDH(C11,"PX_LAST",AM$5,AM$5),"")</f>
        <v>0</v>
      </c>
      <c r="AN11" s="27">
        <f>IFERROR(BDH(C11,"PX_LAST",AN$5,AN$5),"")</f>
        <v>0</v>
      </c>
      <c r="AO11" s="27">
        <f>IFERROR(BDH(C11,"PX_LAST",AO$5,AO$5),"")</f>
        <v>0</v>
      </c>
      <c r="AP11" s="27">
        <f>IFERROR(BDH(C11,"PX_LAST",AP$5,AP$5),"")</f>
        <v>0</v>
      </c>
      <c r="AQ11" s="27">
        <f>IFERROR(BDH(C11,"PX_LAST",AQ$5,AQ$5),"")</f>
        <v>0</v>
      </c>
      <c r="AR11" s="27">
        <f>IFERROR(BDH(C11,"PX_LAST",AR$5,AR$5),"")</f>
        <v>0</v>
      </c>
      <c r="AS11" s="27">
        <f>IFERROR(BDH(C11,"PX_LAST",AS$5,AS$5),"")</f>
        <v>0</v>
      </c>
      <c r="AT11" s="27">
        <f>IFERROR(BDH(C11,"PX_LAST",AT$5,AT$5),"")</f>
        <v>0</v>
      </c>
      <c r="AU11" s="27">
        <f>IFERROR(BDH(C11,"PX_LAST",AU$5,AU$5),"")</f>
        <v>0</v>
      </c>
      <c r="AV11" s="27">
        <f>IFERROR(BDH(C11,"PX_LAST",AV$5,AV$5),"")</f>
        <v>0</v>
      </c>
      <c r="AW11" s="27">
        <f>IFERROR(BDH(C11,"PX_LAST",AW$5,AW$5),"")</f>
        <v>0</v>
      </c>
      <c r="AX11" s="27">
        <f>IFERROR(BDH(C11,"PX_LAST",AX$5,AX$5),"")</f>
        <v>0</v>
      </c>
      <c r="AY11" s="27">
        <f>IFERROR(BDH(C11,"PX_LAST",AY$5,AY$5),"")</f>
        <v>0</v>
      </c>
      <c r="AZ11" s="27">
        <f>IFERROR(BDH(C11,"PX_LAST",AZ$5,AZ$5),"")</f>
        <v>0</v>
      </c>
      <c r="BA11" s="27">
        <f>IFERROR(BDH(C11,"PX_LAST",BA$5,BA$5),"")</f>
        <v>0</v>
      </c>
      <c r="BB11" s="27">
        <f>IFERROR(BDH(C11,"PX_LAST",BB$5,BB$5),"")</f>
        <v>0</v>
      </c>
      <c r="BC11" s="27">
        <f>IFERROR(BDH(C11,"PX_LAST",BC$5,BC$5),"")</f>
        <v>0</v>
      </c>
    </row>
    <row r="12" spans="1:55" ht="20" customHeight="1">
      <c r="A12">
        <f>IFERROR(LARGE(SFI!$G:$G,7),0)</f>
        <v>0</v>
      </c>
      <c r="B12">
        <f>IFERROR(MATCH(A12,SFI!$G:$G,0),0)</f>
        <v>0</v>
      </c>
      <c r="C12" s="32">
        <f>IFERROR(INDEX(SFI!$D:$D,B12),"")</f>
        <v>0</v>
      </c>
      <c r="D12" s="33">
        <f>IFERROR(INDEX(SFI!$C:$C,B12),"")</f>
        <v>0</v>
      </c>
      <c r="E12" s="34">
        <f>IFERROR(BDP(C12,"BID_SIZE"),"")</f>
        <v>0</v>
      </c>
      <c r="F12" s="35">
        <f>IFERROR(BDP(C12,"PX_BID"),"")</f>
        <v>0</v>
      </c>
      <c r="G12" s="35">
        <f>IFERROR(BDP(C12,"PX_ASK"),"")</f>
        <v>0</v>
      </c>
      <c r="H12" s="34">
        <f>IFERROR(BDP(C12,"ASK_SIZE"),"")</f>
        <v>0</v>
      </c>
      <c r="I12" s="34">
        <f>IFERROR(BDP(C12,"VOLUME"),"")</f>
        <v>0</v>
      </c>
      <c r="J12" s="35">
        <f>IFERROR(BDP(C12,"PX_LAST"),"")</f>
        <v>0</v>
      </c>
      <c r="K12" s="33">
        <f>IFERROR(BDP(C12,"LAST_UPDATE_DT_EXCH_TZ"),"")</f>
        <v>0</v>
      </c>
      <c r="L12" s="36">
        <f>IFERROR(INDEX(SFI!$B:$B,B12),"")</f>
        <v>0</v>
      </c>
      <c r="AC12" s="25">
        <f>IFERROR(AVERAGE(AG12:BC12),"")</f>
        <v>0</v>
      </c>
      <c r="AD12" s="25">
        <f>IFERROR(STDEV(AG12:BC12),"")</f>
        <v>0</v>
      </c>
      <c r="AE12" s="26">
        <f>IFERROR(IF(AD12=0,"",(J12-AC12)/AD12),"")</f>
        <v>0</v>
      </c>
      <c r="AG12" s="27">
        <f>IFERROR(BDH(C12,"PX_LAST",AG$5,AG$5),"")</f>
        <v>0</v>
      </c>
      <c r="AH12" s="27">
        <f>IFERROR(BDH(C12,"PX_LAST",AH$5,AH$5),"")</f>
        <v>0</v>
      </c>
      <c r="AI12" s="27">
        <f>IFERROR(BDH(C12,"PX_LAST",AI$5,AI$5),"")</f>
        <v>0</v>
      </c>
      <c r="AJ12" s="27">
        <f>IFERROR(BDH(C12,"PX_LAST",AJ$5,AJ$5),"")</f>
        <v>0</v>
      </c>
      <c r="AK12" s="27">
        <f>IFERROR(BDH(C12,"PX_LAST",AK$5,AK$5),"")</f>
        <v>0</v>
      </c>
      <c r="AL12" s="27">
        <f>IFERROR(BDH(C12,"PX_LAST",AL$5,AL$5),"")</f>
        <v>0</v>
      </c>
      <c r="AM12" s="27">
        <f>IFERROR(BDH(C12,"PX_LAST",AM$5,AM$5),"")</f>
        <v>0</v>
      </c>
      <c r="AN12" s="27">
        <f>IFERROR(BDH(C12,"PX_LAST",AN$5,AN$5),"")</f>
        <v>0</v>
      </c>
      <c r="AO12" s="27">
        <f>IFERROR(BDH(C12,"PX_LAST",AO$5,AO$5),"")</f>
        <v>0</v>
      </c>
      <c r="AP12" s="27">
        <f>IFERROR(BDH(C12,"PX_LAST",AP$5,AP$5),"")</f>
        <v>0</v>
      </c>
      <c r="AQ12" s="27">
        <f>IFERROR(BDH(C12,"PX_LAST",AQ$5,AQ$5),"")</f>
        <v>0</v>
      </c>
      <c r="AR12" s="27">
        <f>IFERROR(BDH(C12,"PX_LAST",AR$5,AR$5),"")</f>
        <v>0</v>
      </c>
      <c r="AS12" s="27">
        <f>IFERROR(BDH(C12,"PX_LAST",AS$5,AS$5),"")</f>
        <v>0</v>
      </c>
      <c r="AT12" s="27">
        <f>IFERROR(BDH(C12,"PX_LAST",AT$5,AT$5),"")</f>
        <v>0</v>
      </c>
      <c r="AU12" s="27">
        <f>IFERROR(BDH(C12,"PX_LAST",AU$5,AU$5),"")</f>
        <v>0</v>
      </c>
      <c r="AV12" s="27">
        <f>IFERROR(BDH(C12,"PX_LAST",AV$5,AV$5),"")</f>
        <v>0</v>
      </c>
      <c r="AW12" s="27">
        <f>IFERROR(BDH(C12,"PX_LAST",AW$5,AW$5),"")</f>
        <v>0</v>
      </c>
      <c r="AX12" s="27">
        <f>IFERROR(BDH(C12,"PX_LAST",AX$5,AX$5),"")</f>
        <v>0</v>
      </c>
      <c r="AY12" s="27">
        <f>IFERROR(BDH(C12,"PX_LAST",AY$5,AY$5),"")</f>
        <v>0</v>
      </c>
      <c r="AZ12" s="27">
        <f>IFERROR(BDH(C12,"PX_LAST",AZ$5,AZ$5),"")</f>
        <v>0</v>
      </c>
      <c r="BA12" s="27">
        <f>IFERROR(BDH(C12,"PX_LAST",BA$5,BA$5),"")</f>
        <v>0</v>
      </c>
      <c r="BB12" s="27">
        <f>IFERROR(BDH(C12,"PX_LAST",BB$5,BB$5),"")</f>
        <v>0</v>
      </c>
      <c r="BC12" s="27">
        <f>IFERROR(BDH(C12,"PX_LAST",BC$5,BC$5),"")</f>
        <v>0</v>
      </c>
    </row>
    <row r="13" spans="1:55" ht="20" customHeight="1">
      <c r="A13">
        <f>IFERROR(LARGE(SFI!$G:$G,8),0)</f>
        <v>0</v>
      </c>
      <c r="B13">
        <f>IFERROR(MATCH(A13,SFI!$G:$G,0),0)</f>
        <v>0</v>
      </c>
      <c r="C13" s="32">
        <f>IFERROR(INDEX(SFI!$D:$D,B13),"")</f>
        <v>0</v>
      </c>
      <c r="D13" s="33">
        <f>IFERROR(INDEX(SFI!$C:$C,B13),"")</f>
        <v>0</v>
      </c>
      <c r="E13" s="34">
        <f>IFERROR(BDP(C13,"BID_SIZE"),"")</f>
        <v>0</v>
      </c>
      <c r="F13" s="35">
        <f>IFERROR(BDP(C13,"PX_BID"),"")</f>
        <v>0</v>
      </c>
      <c r="G13" s="35">
        <f>IFERROR(BDP(C13,"PX_ASK"),"")</f>
        <v>0</v>
      </c>
      <c r="H13" s="34">
        <f>IFERROR(BDP(C13,"ASK_SIZE"),"")</f>
        <v>0</v>
      </c>
      <c r="I13" s="34">
        <f>IFERROR(BDP(C13,"VOLUME"),"")</f>
        <v>0</v>
      </c>
      <c r="J13" s="35">
        <f>IFERROR(BDP(C13,"PX_LAST"),"")</f>
        <v>0</v>
      </c>
      <c r="K13" s="33">
        <f>IFERROR(BDP(C13,"LAST_UPDATE_DT_EXCH_TZ"),"")</f>
        <v>0</v>
      </c>
      <c r="L13" s="36">
        <f>IFERROR(INDEX(SFI!$B:$B,B13),"")</f>
        <v>0</v>
      </c>
      <c r="AC13" s="25">
        <f>IFERROR(AVERAGE(AG13:BC13),"")</f>
        <v>0</v>
      </c>
      <c r="AD13" s="25">
        <f>IFERROR(STDEV(AG13:BC13),"")</f>
        <v>0</v>
      </c>
      <c r="AE13" s="26">
        <f>IFERROR(IF(AD13=0,"",(J13-AC13)/AD13),"")</f>
        <v>0</v>
      </c>
      <c r="AG13" s="27">
        <f>IFERROR(BDH(C13,"PX_LAST",AG$5,AG$5),"")</f>
        <v>0</v>
      </c>
      <c r="AH13" s="27">
        <f>IFERROR(BDH(C13,"PX_LAST",AH$5,AH$5),"")</f>
        <v>0</v>
      </c>
      <c r="AI13" s="27">
        <f>IFERROR(BDH(C13,"PX_LAST",AI$5,AI$5),"")</f>
        <v>0</v>
      </c>
      <c r="AJ13" s="27">
        <f>IFERROR(BDH(C13,"PX_LAST",AJ$5,AJ$5),"")</f>
        <v>0</v>
      </c>
      <c r="AK13" s="27">
        <f>IFERROR(BDH(C13,"PX_LAST",AK$5,AK$5),"")</f>
        <v>0</v>
      </c>
      <c r="AL13" s="27">
        <f>IFERROR(BDH(C13,"PX_LAST",AL$5,AL$5),"")</f>
        <v>0</v>
      </c>
      <c r="AM13" s="27">
        <f>IFERROR(BDH(C13,"PX_LAST",AM$5,AM$5),"")</f>
        <v>0</v>
      </c>
      <c r="AN13" s="27">
        <f>IFERROR(BDH(C13,"PX_LAST",AN$5,AN$5),"")</f>
        <v>0</v>
      </c>
      <c r="AO13" s="27">
        <f>IFERROR(BDH(C13,"PX_LAST",AO$5,AO$5),"")</f>
        <v>0</v>
      </c>
      <c r="AP13" s="27">
        <f>IFERROR(BDH(C13,"PX_LAST",AP$5,AP$5),"")</f>
        <v>0</v>
      </c>
      <c r="AQ13" s="27">
        <f>IFERROR(BDH(C13,"PX_LAST",AQ$5,AQ$5),"")</f>
        <v>0</v>
      </c>
      <c r="AR13" s="27">
        <f>IFERROR(BDH(C13,"PX_LAST",AR$5,AR$5),"")</f>
        <v>0</v>
      </c>
      <c r="AS13" s="27">
        <f>IFERROR(BDH(C13,"PX_LAST",AS$5,AS$5),"")</f>
        <v>0</v>
      </c>
      <c r="AT13" s="27">
        <f>IFERROR(BDH(C13,"PX_LAST",AT$5,AT$5),"")</f>
        <v>0</v>
      </c>
      <c r="AU13" s="27">
        <f>IFERROR(BDH(C13,"PX_LAST",AU$5,AU$5),"")</f>
        <v>0</v>
      </c>
      <c r="AV13" s="27">
        <f>IFERROR(BDH(C13,"PX_LAST",AV$5,AV$5),"")</f>
        <v>0</v>
      </c>
      <c r="AW13" s="27">
        <f>IFERROR(BDH(C13,"PX_LAST",AW$5,AW$5),"")</f>
        <v>0</v>
      </c>
      <c r="AX13" s="27">
        <f>IFERROR(BDH(C13,"PX_LAST",AX$5,AX$5),"")</f>
        <v>0</v>
      </c>
      <c r="AY13" s="27">
        <f>IFERROR(BDH(C13,"PX_LAST",AY$5,AY$5),"")</f>
        <v>0</v>
      </c>
      <c r="AZ13" s="27">
        <f>IFERROR(BDH(C13,"PX_LAST",AZ$5,AZ$5),"")</f>
        <v>0</v>
      </c>
      <c r="BA13" s="27">
        <f>IFERROR(BDH(C13,"PX_LAST",BA$5,BA$5),"")</f>
        <v>0</v>
      </c>
      <c r="BB13" s="27">
        <f>IFERROR(BDH(C13,"PX_LAST",BB$5,BB$5),"")</f>
        <v>0</v>
      </c>
      <c r="BC13" s="27">
        <f>IFERROR(BDH(C13,"PX_LAST",BC$5,BC$5),"")</f>
        <v>0</v>
      </c>
    </row>
    <row r="14" spans="1:55" ht="20" customHeight="1">
      <c r="A14">
        <f>IFERROR(LARGE(SFI!$G:$G,9),0)</f>
        <v>0</v>
      </c>
      <c r="B14">
        <f>IFERROR(MATCH(A14,SFI!$G:$G,0),0)</f>
        <v>0</v>
      </c>
      <c r="C14" s="32">
        <f>IFERROR(INDEX(SFI!$D:$D,B14),"")</f>
        <v>0</v>
      </c>
      <c r="D14" s="33">
        <f>IFERROR(INDEX(SFI!$C:$C,B14),"")</f>
        <v>0</v>
      </c>
      <c r="E14" s="34">
        <f>IFERROR(BDP(C14,"BID_SIZE"),"")</f>
        <v>0</v>
      </c>
      <c r="F14" s="35">
        <f>IFERROR(BDP(C14,"PX_BID"),"")</f>
        <v>0</v>
      </c>
      <c r="G14" s="35">
        <f>IFERROR(BDP(C14,"PX_ASK"),"")</f>
        <v>0</v>
      </c>
      <c r="H14" s="34">
        <f>IFERROR(BDP(C14,"ASK_SIZE"),"")</f>
        <v>0</v>
      </c>
      <c r="I14" s="34">
        <f>IFERROR(BDP(C14,"VOLUME"),"")</f>
        <v>0</v>
      </c>
      <c r="J14" s="35">
        <f>IFERROR(BDP(C14,"PX_LAST"),"")</f>
        <v>0</v>
      </c>
      <c r="K14" s="33">
        <f>IFERROR(BDP(C14,"LAST_UPDATE_DT_EXCH_TZ"),"")</f>
        <v>0</v>
      </c>
      <c r="L14" s="36">
        <f>IFERROR(INDEX(SFI!$B:$B,B14),"")</f>
        <v>0</v>
      </c>
      <c r="AC14" s="25">
        <f>IFERROR(AVERAGE(AG14:BC14),"")</f>
        <v>0</v>
      </c>
      <c r="AD14" s="25">
        <f>IFERROR(STDEV(AG14:BC14),"")</f>
        <v>0</v>
      </c>
      <c r="AE14" s="26">
        <f>IFERROR(IF(AD14=0,"",(J14-AC14)/AD14),"")</f>
        <v>0</v>
      </c>
      <c r="AG14" s="27">
        <f>IFERROR(BDH(C14,"PX_LAST",AG$5,AG$5),"")</f>
        <v>0</v>
      </c>
      <c r="AH14" s="27">
        <f>IFERROR(BDH(C14,"PX_LAST",AH$5,AH$5),"")</f>
        <v>0</v>
      </c>
      <c r="AI14" s="27">
        <f>IFERROR(BDH(C14,"PX_LAST",AI$5,AI$5),"")</f>
        <v>0</v>
      </c>
      <c r="AJ14" s="27">
        <f>IFERROR(BDH(C14,"PX_LAST",AJ$5,AJ$5),"")</f>
        <v>0</v>
      </c>
      <c r="AK14" s="27">
        <f>IFERROR(BDH(C14,"PX_LAST",AK$5,AK$5),"")</f>
        <v>0</v>
      </c>
      <c r="AL14" s="27">
        <f>IFERROR(BDH(C14,"PX_LAST",AL$5,AL$5),"")</f>
        <v>0</v>
      </c>
      <c r="AM14" s="27">
        <f>IFERROR(BDH(C14,"PX_LAST",AM$5,AM$5),"")</f>
        <v>0</v>
      </c>
      <c r="AN14" s="27">
        <f>IFERROR(BDH(C14,"PX_LAST",AN$5,AN$5),"")</f>
        <v>0</v>
      </c>
      <c r="AO14" s="27">
        <f>IFERROR(BDH(C14,"PX_LAST",AO$5,AO$5),"")</f>
        <v>0</v>
      </c>
      <c r="AP14" s="27">
        <f>IFERROR(BDH(C14,"PX_LAST",AP$5,AP$5),"")</f>
        <v>0</v>
      </c>
      <c r="AQ14" s="27">
        <f>IFERROR(BDH(C14,"PX_LAST",AQ$5,AQ$5),"")</f>
        <v>0</v>
      </c>
      <c r="AR14" s="27">
        <f>IFERROR(BDH(C14,"PX_LAST",AR$5,AR$5),"")</f>
        <v>0</v>
      </c>
      <c r="AS14" s="27">
        <f>IFERROR(BDH(C14,"PX_LAST",AS$5,AS$5),"")</f>
        <v>0</v>
      </c>
      <c r="AT14" s="27">
        <f>IFERROR(BDH(C14,"PX_LAST",AT$5,AT$5),"")</f>
        <v>0</v>
      </c>
      <c r="AU14" s="27">
        <f>IFERROR(BDH(C14,"PX_LAST",AU$5,AU$5),"")</f>
        <v>0</v>
      </c>
      <c r="AV14" s="27">
        <f>IFERROR(BDH(C14,"PX_LAST",AV$5,AV$5),"")</f>
        <v>0</v>
      </c>
      <c r="AW14" s="27">
        <f>IFERROR(BDH(C14,"PX_LAST",AW$5,AW$5),"")</f>
        <v>0</v>
      </c>
      <c r="AX14" s="27">
        <f>IFERROR(BDH(C14,"PX_LAST",AX$5,AX$5),"")</f>
        <v>0</v>
      </c>
      <c r="AY14" s="27">
        <f>IFERROR(BDH(C14,"PX_LAST",AY$5,AY$5),"")</f>
        <v>0</v>
      </c>
      <c r="AZ14" s="27">
        <f>IFERROR(BDH(C14,"PX_LAST",AZ$5,AZ$5),"")</f>
        <v>0</v>
      </c>
      <c r="BA14" s="27">
        <f>IFERROR(BDH(C14,"PX_LAST",BA$5,BA$5),"")</f>
        <v>0</v>
      </c>
      <c r="BB14" s="27">
        <f>IFERROR(BDH(C14,"PX_LAST",BB$5,BB$5),"")</f>
        <v>0</v>
      </c>
      <c r="BC14" s="27">
        <f>IFERROR(BDH(C14,"PX_LAST",BC$5,BC$5),"")</f>
        <v>0</v>
      </c>
    </row>
    <row r="15" spans="1:55" ht="20" customHeight="1">
      <c r="A15">
        <f>IFERROR(LARGE(SFI!$G:$G,10),0)</f>
        <v>0</v>
      </c>
      <c r="B15">
        <f>IFERROR(MATCH(A15,SFI!$G:$G,0),0)</f>
        <v>0</v>
      </c>
      <c r="C15" s="32">
        <f>IFERROR(INDEX(SFI!$D:$D,B15),"")</f>
        <v>0</v>
      </c>
      <c r="D15" s="33">
        <f>IFERROR(INDEX(SFI!$C:$C,B15),"")</f>
        <v>0</v>
      </c>
      <c r="E15" s="34">
        <f>IFERROR(BDP(C15,"BID_SIZE"),"")</f>
        <v>0</v>
      </c>
      <c r="F15" s="35">
        <f>IFERROR(BDP(C15,"PX_BID"),"")</f>
        <v>0</v>
      </c>
      <c r="G15" s="35">
        <f>IFERROR(BDP(C15,"PX_ASK"),"")</f>
        <v>0</v>
      </c>
      <c r="H15" s="34">
        <f>IFERROR(BDP(C15,"ASK_SIZE"),"")</f>
        <v>0</v>
      </c>
      <c r="I15" s="34">
        <f>IFERROR(BDP(C15,"VOLUME"),"")</f>
        <v>0</v>
      </c>
      <c r="J15" s="35">
        <f>IFERROR(BDP(C15,"PX_LAST"),"")</f>
        <v>0</v>
      </c>
      <c r="K15" s="33">
        <f>IFERROR(BDP(C15,"LAST_UPDATE_DT_EXCH_TZ"),"")</f>
        <v>0</v>
      </c>
      <c r="L15" s="36">
        <f>IFERROR(INDEX(SFI!$B:$B,B15),"")</f>
        <v>0</v>
      </c>
      <c r="AC15" s="25">
        <f>IFERROR(AVERAGE(AG15:BC15),"")</f>
        <v>0</v>
      </c>
      <c r="AD15" s="25">
        <f>IFERROR(STDEV(AG15:BC15),"")</f>
        <v>0</v>
      </c>
      <c r="AE15" s="26">
        <f>IFERROR(IF(AD15=0,"",(J15-AC15)/AD15),"")</f>
        <v>0</v>
      </c>
      <c r="AG15" s="27">
        <f>IFERROR(BDH(C15,"PX_LAST",AG$5,AG$5),"")</f>
        <v>0</v>
      </c>
      <c r="AH15" s="27">
        <f>IFERROR(BDH(C15,"PX_LAST",AH$5,AH$5),"")</f>
        <v>0</v>
      </c>
      <c r="AI15" s="27">
        <f>IFERROR(BDH(C15,"PX_LAST",AI$5,AI$5),"")</f>
        <v>0</v>
      </c>
      <c r="AJ15" s="27">
        <f>IFERROR(BDH(C15,"PX_LAST",AJ$5,AJ$5),"")</f>
        <v>0</v>
      </c>
      <c r="AK15" s="27">
        <f>IFERROR(BDH(C15,"PX_LAST",AK$5,AK$5),"")</f>
        <v>0</v>
      </c>
      <c r="AL15" s="27">
        <f>IFERROR(BDH(C15,"PX_LAST",AL$5,AL$5),"")</f>
        <v>0</v>
      </c>
      <c r="AM15" s="27">
        <f>IFERROR(BDH(C15,"PX_LAST",AM$5,AM$5),"")</f>
        <v>0</v>
      </c>
      <c r="AN15" s="27">
        <f>IFERROR(BDH(C15,"PX_LAST",AN$5,AN$5),"")</f>
        <v>0</v>
      </c>
      <c r="AO15" s="27">
        <f>IFERROR(BDH(C15,"PX_LAST",AO$5,AO$5),"")</f>
        <v>0</v>
      </c>
      <c r="AP15" s="27">
        <f>IFERROR(BDH(C15,"PX_LAST",AP$5,AP$5),"")</f>
        <v>0</v>
      </c>
      <c r="AQ15" s="27">
        <f>IFERROR(BDH(C15,"PX_LAST",AQ$5,AQ$5),"")</f>
        <v>0</v>
      </c>
      <c r="AR15" s="27">
        <f>IFERROR(BDH(C15,"PX_LAST",AR$5,AR$5),"")</f>
        <v>0</v>
      </c>
      <c r="AS15" s="27">
        <f>IFERROR(BDH(C15,"PX_LAST",AS$5,AS$5),"")</f>
        <v>0</v>
      </c>
      <c r="AT15" s="27">
        <f>IFERROR(BDH(C15,"PX_LAST",AT$5,AT$5),"")</f>
        <v>0</v>
      </c>
      <c r="AU15" s="27">
        <f>IFERROR(BDH(C15,"PX_LAST",AU$5,AU$5),"")</f>
        <v>0</v>
      </c>
      <c r="AV15" s="27">
        <f>IFERROR(BDH(C15,"PX_LAST",AV$5,AV$5),"")</f>
        <v>0</v>
      </c>
      <c r="AW15" s="27">
        <f>IFERROR(BDH(C15,"PX_LAST",AW$5,AW$5),"")</f>
        <v>0</v>
      </c>
      <c r="AX15" s="27">
        <f>IFERROR(BDH(C15,"PX_LAST",AX$5,AX$5),"")</f>
        <v>0</v>
      </c>
      <c r="AY15" s="27">
        <f>IFERROR(BDH(C15,"PX_LAST",AY$5,AY$5),"")</f>
        <v>0</v>
      </c>
      <c r="AZ15" s="27">
        <f>IFERROR(BDH(C15,"PX_LAST",AZ$5,AZ$5),"")</f>
        <v>0</v>
      </c>
      <c r="BA15" s="27">
        <f>IFERROR(BDH(C15,"PX_LAST",BA$5,BA$5),"")</f>
        <v>0</v>
      </c>
      <c r="BB15" s="27">
        <f>IFERROR(BDH(C15,"PX_LAST",BB$5,BB$5),"")</f>
        <v>0</v>
      </c>
      <c r="BC15" s="27">
        <f>IFERROR(BDH(C15,"PX_LAST",BC$5,BC$5),"")</f>
        <v>0</v>
      </c>
    </row>
    <row r="16" spans="1:55" ht="20" customHeight="1">
      <c r="A16">
        <f>IFERROR(LARGE(SFI!$G:$G,11),0)</f>
        <v>0</v>
      </c>
      <c r="B16">
        <f>IFERROR(MATCH(A16,SFI!$G:$G,0),0)</f>
        <v>0</v>
      </c>
      <c r="C16" s="32">
        <f>IFERROR(INDEX(SFI!$D:$D,B16),"")</f>
        <v>0</v>
      </c>
      <c r="D16" s="33">
        <f>IFERROR(INDEX(SFI!$C:$C,B16),"")</f>
        <v>0</v>
      </c>
      <c r="E16" s="34">
        <f>IFERROR(BDP(C16,"BID_SIZE"),"")</f>
        <v>0</v>
      </c>
      <c r="F16" s="35">
        <f>IFERROR(BDP(C16,"PX_BID"),"")</f>
        <v>0</v>
      </c>
      <c r="G16" s="35">
        <f>IFERROR(BDP(C16,"PX_ASK"),"")</f>
        <v>0</v>
      </c>
      <c r="H16" s="34">
        <f>IFERROR(BDP(C16,"ASK_SIZE"),"")</f>
        <v>0</v>
      </c>
      <c r="I16" s="34">
        <f>IFERROR(BDP(C16,"VOLUME"),"")</f>
        <v>0</v>
      </c>
      <c r="J16" s="35">
        <f>IFERROR(BDP(C16,"PX_LAST"),"")</f>
        <v>0</v>
      </c>
      <c r="K16" s="33">
        <f>IFERROR(BDP(C16,"LAST_UPDATE_DT_EXCH_TZ"),"")</f>
        <v>0</v>
      </c>
      <c r="L16" s="36">
        <f>IFERROR(INDEX(SFI!$B:$B,B16),"")</f>
        <v>0</v>
      </c>
      <c r="AC16" s="25">
        <f>IFERROR(AVERAGE(AG16:BC16),"")</f>
        <v>0</v>
      </c>
      <c r="AD16" s="25">
        <f>IFERROR(STDEV(AG16:BC16),"")</f>
        <v>0</v>
      </c>
      <c r="AE16" s="26">
        <f>IFERROR(IF(AD16=0,"",(J16-AC16)/AD16),"")</f>
        <v>0</v>
      </c>
      <c r="AG16" s="27">
        <f>IFERROR(BDH(C16,"PX_LAST",AG$5,AG$5),"")</f>
        <v>0</v>
      </c>
      <c r="AH16" s="27">
        <f>IFERROR(BDH(C16,"PX_LAST",AH$5,AH$5),"")</f>
        <v>0</v>
      </c>
      <c r="AI16" s="27">
        <f>IFERROR(BDH(C16,"PX_LAST",AI$5,AI$5),"")</f>
        <v>0</v>
      </c>
      <c r="AJ16" s="27">
        <f>IFERROR(BDH(C16,"PX_LAST",AJ$5,AJ$5),"")</f>
        <v>0</v>
      </c>
      <c r="AK16" s="27">
        <f>IFERROR(BDH(C16,"PX_LAST",AK$5,AK$5),"")</f>
        <v>0</v>
      </c>
      <c r="AL16" s="27">
        <f>IFERROR(BDH(C16,"PX_LAST",AL$5,AL$5),"")</f>
        <v>0</v>
      </c>
      <c r="AM16" s="27">
        <f>IFERROR(BDH(C16,"PX_LAST",AM$5,AM$5),"")</f>
        <v>0</v>
      </c>
      <c r="AN16" s="27">
        <f>IFERROR(BDH(C16,"PX_LAST",AN$5,AN$5),"")</f>
        <v>0</v>
      </c>
      <c r="AO16" s="27">
        <f>IFERROR(BDH(C16,"PX_LAST",AO$5,AO$5),"")</f>
        <v>0</v>
      </c>
      <c r="AP16" s="27">
        <f>IFERROR(BDH(C16,"PX_LAST",AP$5,AP$5),"")</f>
        <v>0</v>
      </c>
      <c r="AQ16" s="27">
        <f>IFERROR(BDH(C16,"PX_LAST",AQ$5,AQ$5),"")</f>
        <v>0</v>
      </c>
      <c r="AR16" s="27">
        <f>IFERROR(BDH(C16,"PX_LAST",AR$5,AR$5),"")</f>
        <v>0</v>
      </c>
      <c r="AS16" s="27">
        <f>IFERROR(BDH(C16,"PX_LAST",AS$5,AS$5),"")</f>
        <v>0</v>
      </c>
      <c r="AT16" s="27">
        <f>IFERROR(BDH(C16,"PX_LAST",AT$5,AT$5),"")</f>
        <v>0</v>
      </c>
      <c r="AU16" s="27">
        <f>IFERROR(BDH(C16,"PX_LAST",AU$5,AU$5),"")</f>
        <v>0</v>
      </c>
      <c r="AV16" s="27">
        <f>IFERROR(BDH(C16,"PX_LAST",AV$5,AV$5),"")</f>
        <v>0</v>
      </c>
      <c r="AW16" s="27">
        <f>IFERROR(BDH(C16,"PX_LAST",AW$5,AW$5),"")</f>
        <v>0</v>
      </c>
      <c r="AX16" s="27">
        <f>IFERROR(BDH(C16,"PX_LAST",AX$5,AX$5),"")</f>
        <v>0</v>
      </c>
      <c r="AY16" s="27">
        <f>IFERROR(BDH(C16,"PX_LAST",AY$5,AY$5),"")</f>
        <v>0</v>
      </c>
      <c r="AZ16" s="27">
        <f>IFERROR(BDH(C16,"PX_LAST",AZ$5,AZ$5),"")</f>
        <v>0</v>
      </c>
      <c r="BA16" s="27">
        <f>IFERROR(BDH(C16,"PX_LAST",BA$5,BA$5),"")</f>
        <v>0</v>
      </c>
      <c r="BB16" s="27">
        <f>IFERROR(BDH(C16,"PX_LAST",BB$5,BB$5),"")</f>
        <v>0</v>
      </c>
      <c r="BC16" s="27">
        <f>IFERROR(BDH(C16,"PX_LAST",BC$5,BC$5),"")</f>
        <v>0</v>
      </c>
    </row>
    <row r="17" spans="1:55" ht="20" customHeight="1">
      <c r="A17">
        <f>IFERROR(LARGE(SFI!$G:$G,12),0)</f>
        <v>0</v>
      </c>
      <c r="B17">
        <f>IFERROR(MATCH(A17,SFI!$G:$G,0),0)</f>
        <v>0</v>
      </c>
      <c r="C17" s="32">
        <f>IFERROR(INDEX(SFI!$D:$D,B17),"")</f>
        <v>0</v>
      </c>
      <c r="D17" s="33">
        <f>IFERROR(INDEX(SFI!$C:$C,B17),"")</f>
        <v>0</v>
      </c>
      <c r="E17" s="34">
        <f>IFERROR(BDP(C17,"BID_SIZE"),"")</f>
        <v>0</v>
      </c>
      <c r="F17" s="35">
        <f>IFERROR(BDP(C17,"PX_BID"),"")</f>
        <v>0</v>
      </c>
      <c r="G17" s="35">
        <f>IFERROR(BDP(C17,"PX_ASK"),"")</f>
        <v>0</v>
      </c>
      <c r="H17" s="34">
        <f>IFERROR(BDP(C17,"ASK_SIZE"),"")</f>
        <v>0</v>
      </c>
      <c r="I17" s="34">
        <f>IFERROR(BDP(C17,"VOLUME"),"")</f>
        <v>0</v>
      </c>
      <c r="J17" s="35">
        <f>IFERROR(BDP(C17,"PX_LAST"),"")</f>
        <v>0</v>
      </c>
      <c r="K17" s="33">
        <f>IFERROR(BDP(C17,"LAST_UPDATE_DT_EXCH_TZ"),"")</f>
        <v>0</v>
      </c>
      <c r="L17" s="36">
        <f>IFERROR(INDEX(SFI!$B:$B,B17),"")</f>
        <v>0</v>
      </c>
      <c r="AC17" s="25">
        <f>IFERROR(AVERAGE(AG17:BC17),"")</f>
        <v>0</v>
      </c>
      <c r="AD17" s="25">
        <f>IFERROR(STDEV(AG17:BC17),"")</f>
        <v>0</v>
      </c>
      <c r="AE17" s="26">
        <f>IFERROR(IF(AD17=0,"",(J17-AC17)/AD17),"")</f>
        <v>0</v>
      </c>
      <c r="AG17" s="27">
        <f>IFERROR(BDH(C17,"PX_LAST",AG$5,AG$5),"")</f>
        <v>0</v>
      </c>
      <c r="AH17" s="27">
        <f>IFERROR(BDH(C17,"PX_LAST",AH$5,AH$5),"")</f>
        <v>0</v>
      </c>
      <c r="AI17" s="27">
        <f>IFERROR(BDH(C17,"PX_LAST",AI$5,AI$5),"")</f>
        <v>0</v>
      </c>
      <c r="AJ17" s="27">
        <f>IFERROR(BDH(C17,"PX_LAST",AJ$5,AJ$5),"")</f>
        <v>0</v>
      </c>
      <c r="AK17" s="27">
        <f>IFERROR(BDH(C17,"PX_LAST",AK$5,AK$5),"")</f>
        <v>0</v>
      </c>
      <c r="AL17" s="27">
        <f>IFERROR(BDH(C17,"PX_LAST",AL$5,AL$5),"")</f>
        <v>0</v>
      </c>
      <c r="AM17" s="27">
        <f>IFERROR(BDH(C17,"PX_LAST",AM$5,AM$5),"")</f>
        <v>0</v>
      </c>
      <c r="AN17" s="27">
        <f>IFERROR(BDH(C17,"PX_LAST",AN$5,AN$5),"")</f>
        <v>0</v>
      </c>
      <c r="AO17" s="27">
        <f>IFERROR(BDH(C17,"PX_LAST",AO$5,AO$5),"")</f>
        <v>0</v>
      </c>
      <c r="AP17" s="27">
        <f>IFERROR(BDH(C17,"PX_LAST",AP$5,AP$5),"")</f>
        <v>0</v>
      </c>
      <c r="AQ17" s="27">
        <f>IFERROR(BDH(C17,"PX_LAST",AQ$5,AQ$5),"")</f>
        <v>0</v>
      </c>
      <c r="AR17" s="27">
        <f>IFERROR(BDH(C17,"PX_LAST",AR$5,AR$5),"")</f>
        <v>0</v>
      </c>
      <c r="AS17" s="27">
        <f>IFERROR(BDH(C17,"PX_LAST",AS$5,AS$5),"")</f>
        <v>0</v>
      </c>
      <c r="AT17" s="27">
        <f>IFERROR(BDH(C17,"PX_LAST",AT$5,AT$5),"")</f>
        <v>0</v>
      </c>
      <c r="AU17" s="27">
        <f>IFERROR(BDH(C17,"PX_LAST",AU$5,AU$5),"")</f>
        <v>0</v>
      </c>
      <c r="AV17" s="27">
        <f>IFERROR(BDH(C17,"PX_LAST",AV$5,AV$5),"")</f>
        <v>0</v>
      </c>
      <c r="AW17" s="27">
        <f>IFERROR(BDH(C17,"PX_LAST",AW$5,AW$5),"")</f>
        <v>0</v>
      </c>
      <c r="AX17" s="27">
        <f>IFERROR(BDH(C17,"PX_LAST",AX$5,AX$5),"")</f>
        <v>0</v>
      </c>
      <c r="AY17" s="27">
        <f>IFERROR(BDH(C17,"PX_LAST",AY$5,AY$5),"")</f>
        <v>0</v>
      </c>
      <c r="AZ17" s="27">
        <f>IFERROR(BDH(C17,"PX_LAST",AZ$5,AZ$5),"")</f>
        <v>0</v>
      </c>
      <c r="BA17" s="27">
        <f>IFERROR(BDH(C17,"PX_LAST",BA$5,BA$5),"")</f>
        <v>0</v>
      </c>
      <c r="BB17" s="27">
        <f>IFERROR(BDH(C17,"PX_LAST",BB$5,BB$5),"")</f>
        <v>0</v>
      </c>
      <c r="BC17" s="27">
        <f>IFERROR(BDH(C17,"PX_LAST",BC$5,BC$5),"")</f>
        <v>0</v>
      </c>
    </row>
    <row r="18" spans="1:55" ht="20" customHeight="1">
      <c r="A18">
        <f>IFERROR(LARGE(SFI!$G:$G,13),0)</f>
        <v>0</v>
      </c>
      <c r="B18">
        <f>IFERROR(MATCH(A18,SFI!$G:$G,0),0)</f>
        <v>0</v>
      </c>
      <c r="C18" s="32">
        <f>IFERROR(INDEX(SFI!$D:$D,B18),"")</f>
        <v>0</v>
      </c>
      <c r="D18" s="33">
        <f>IFERROR(INDEX(SFI!$C:$C,B18),"")</f>
        <v>0</v>
      </c>
      <c r="E18" s="34">
        <f>IFERROR(BDP(C18,"BID_SIZE"),"")</f>
        <v>0</v>
      </c>
      <c r="F18" s="35">
        <f>IFERROR(BDP(C18,"PX_BID"),"")</f>
        <v>0</v>
      </c>
      <c r="G18" s="35">
        <f>IFERROR(BDP(C18,"PX_ASK"),"")</f>
        <v>0</v>
      </c>
      <c r="H18" s="34">
        <f>IFERROR(BDP(C18,"ASK_SIZE"),"")</f>
        <v>0</v>
      </c>
      <c r="I18" s="34">
        <f>IFERROR(BDP(C18,"VOLUME"),"")</f>
        <v>0</v>
      </c>
      <c r="J18" s="35">
        <f>IFERROR(BDP(C18,"PX_LAST"),"")</f>
        <v>0</v>
      </c>
      <c r="K18" s="33">
        <f>IFERROR(BDP(C18,"LAST_UPDATE_DT_EXCH_TZ"),"")</f>
        <v>0</v>
      </c>
      <c r="L18" s="36">
        <f>IFERROR(INDEX(SFI!$B:$B,B18),"")</f>
        <v>0</v>
      </c>
      <c r="AC18" s="25">
        <f>IFERROR(AVERAGE(AG18:BC18),"")</f>
        <v>0</v>
      </c>
      <c r="AD18" s="25">
        <f>IFERROR(STDEV(AG18:BC18),"")</f>
        <v>0</v>
      </c>
      <c r="AE18" s="26">
        <f>IFERROR(IF(AD18=0,"",(J18-AC18)/AD18),"")</f>
        <v>0</v>
      </c>
      <c r="AG18" s="27">
        <f>IFERROR(BDH(C18,"PX_LAST",AG$5,AG$5),"")</f>
        <v>0</v>
      </c>
      <c r="AH18" s="27">
        <f>IFERROR(BDH(C18,"PX_LAST",AH$5,AH$5),"")</f>
        <v>0</v>
      </c>
      <c r="AI18" s="27">
        <f>IFERROR(BDH(C18,"PX_LAST",AI$5,AI$5),"")</f>
        <v>0</v>
      </c>
      <c r="AJ18" s="27">
        <f>IFERROR(BDH(C18,"PX_LAST",AJ$5,AJ$5),"")</f>
        <v>0</v>
      </c>
      <c r="AK18" s="27">
        <f>IFERROR(BDH(C18,"PX_LAST",AK$5,AK$5),"")</f>
        <v>0</v>
      </c>
      <c r="AL18" s="27">
        <f>IFERROR(BDH(C18,"PX_LAST",AL$5,AL$5),"")</f>
        <v>0</v>
      </c>
      <c r="AM18" s="27">
        <f>IFERROR(BDH(C18,"PX_LAST",AM$5,AM$5),"")</f>
        <v>0</v>
      </c>
      <c r="AN18" s="27">
        <f>IFERROR(BDH(C18,"PX_LAST",AN$5,AN$5),"")</f>
        <v>0</v>
      </c>
      <c r="AO18" s="27">
        <f>IFERROR(BDH(C18,"PX_LAST",AO$5,AO$5),"")</f>
        <v>0</v>
      </c>
      <c r="AP18" s="27">
        <f>IFERROR(BDH(C18,"PX_LAST",AP$5,AP$5),"")</f>
        <v>0</v>
      </c>
      <c r="AQ18" s="27">
        <f>IFERROR(BDH(C18,"PX_LAST",AQ$5,AQ$5),"")</f>
        <v>0</v>
      </c>
      <c r="AR18" s="27">
        <f>IFERROR(BDH(C18,"PX_LAST",AR$5,AR$5),"")</f>
        <v>0</v>
      </c>
      <c r="AS18" s="27">
        <f>IFERROR(BDH(C18,"PX_LAST",AS$5,AS$5),"")</f>
        <v>0</v>
      </c>
      <c r="AT18" s="27">
        <f>IFERROR(BDH(C18,"PX_LAST",AT$5,AT$5),"")</f>
        <v>0</v>
      </c>
      <c r="AU18" s="27">
        <f>IFERROR(BDH(C18,"PX_LAST",AU$5,AU$5),"")</f>
        <v>0</v>
      </c>
      <c r="AV18" s="27">
        <f>IFERROR(BDH(C18,"PX_LAST",AV$5,AV$5),"")</f>
        <v>0</v>
      </c>
      <c r="AW18" s="27">
        <f>IFERROR(BDH(C18,"PX_LAST",AW$5,AW$5),"")</f>
        <v>0</v>
      </c>
      <c r="AX18" s="27">
        <f>IFERROR(BDH(C18,"PX_LAST",AX$5,AX$5),"")</f>
        <v>0</v>
      </c>
      <c r="AY18" s="27">
        <f>IFERROR(BDH(C18,"PX_LAST",AY$5,AY$5),"")</f>
        <v>0</v>
      </c>
      <c r="AZ18" s="27">
        <f>IFERROR(BDH(C18,"PX_LAST",AZ$5,AZ$5),"")</f>
        <v>0</v>
      </c>
      <c r="BA18" s="27">
        <f>IFERROR(BDH(C18,"PX_LAST",BA$5,BA$5),"")</f>
        <v>0</v>
      </c>
      <c r="BB18" s="27">
        <f>IFERROR(BDH(C18,"PX_LAST",BB$5,BB$5),"")</f>
        <v>0</v>
      </c>
      <c r="BC18" s="27">
        <f>IFERROR(BDH(C18,"PX_LAST",BC$5,BC$5),"")</f>
        <v>0</v>
      </c>
    </row>
    <row r="19" spans="1:55" ht="20" customHeight="1">
      <c r="A19">
        <f>IFERROR(LARGE(SFI!$G:$G,14),0)</f>
        <v>0</v>
      </c>
      <c r="B19">
        <f>IFERROR(MATCH(A19,SFI!$G:$G,0),0)</f>
        <v>0</v>
      </c>
      <c r="C19" s="32">
        <f>IFERROR(INDEX(SFI!$D:$D,B19),"")</f>
        <v>0</v>
      </c>
      <c r="D19" s="33">
        <f>IFERROR(INDEX(SFI!$C:$C,B19),"")</f>
        <v>0</v>
      </c>
      <c r="E19" s="34">
        <f>IFERROR(BDP(C19,"BID_SIZE"),"")</f>
        <v>0</v>
      </c>
      <c r="F19" s="35">
        <f>IFERROR(BDP(C19,"PX_BID"),"")</f>
        <v>0</v>
      </c>
      <c r="G19" s="35">
        <f>IFERROR(BDP(C19,"PX_ASK"),"")</f>
        <v>0</v>
      </c>
      <c r="H19" s="34">
        <f>IFERROR(BDP(C19,"ASK_SIZE"),"")</f>
        <v>0</v>
      </c>
      <c r="I19" s="34">
        <f>IFERROR(BDP(C19,"VOLUME"),"")</f>
        <v>0</v>
      </c>
      <c r="J19" s="35">
        <f>IFERROR(BDP(C19,"PX_LAST"),"")</f>
        <v>0</v>
      </c>
      <c r="K19" s="33">
        <f>IFERROR(BDP(C19,"LAST_UPDATE_DT_EXCH_TZ"),"")</f>
        <v>0</v>
      </c>
      <c r="L19" s="36">
        <f>IFERROR(INDEX(SFI!$B:$B,B19),"")</f>
        <v>0</v>
      </c>
      <c r="AC19" s="25">
        <f>IFERROR(AVERAGE(AG19:BC19),"")</f>
        <v>0</v>
      </c>
      <c r="AD19" s="25">
        <f>IFERROR(STDEV(AG19:BC19),"")</f>
        <v>0</v>
      </c>
      <c r="AE19" s="26">
        <f>IFERROR(IF(AD19=0,"",(J19-AC19)/AD19),"")</f>
        <v>0</v>
      </c>
      <c r="AG19" s="27">
        <f>IFERROR(BDH(C19,"PX_LAST",AG$5,AG$5),"")</f>
        <v>0</v>
      </c>
      <c r="AH19" s="27">
        <f>IFERROR(BDH(C19,"PX_LAST",AH$5,AH$5),"")</f>
        <v>0</v>
      </c>
      <c r="AI19" s="27">
        <f>IFERROR(BDH(C19,"PX_LAST",AI$5,AI$5),"")</f>
        <v>0</v>
      </c>
      <c r="AJ19" s="27">
        <f>IFERROR(BDH(C19,"PX_LAST",AJ$5,AJ$5),"")</f>
        <v>0</v>
      </c>
      <c r="AK19" s="27">
        <f>IFERROR(BDH(C19,"PX_LAST",AK$5,AK$5),"")</f>
        <v>0</v>
      </c>
      <c r="AL19" s="27">
        <f>IFERROR(BDH(C19,"PX_LAST",AL$5,AL$5),"")</f>
        <v>0</v>
      </c>
      <c r="AM19" s="27">
        <f>IFERROR(BDH(C19,"PX_LAST",AM$5,AM$5),"")</f>
        <v>0</v>
      </c>
      <c r="AN19" s="27">
        <f>IFERROR(BDH(C19,"PX_LAST",AN$5,AN$5),"")</f>
        <v>0</v>
      </c>
      <c r="AO19" s="27">
        <f>IFERROR(BDH(C19,"PX_LAST",AO$5,AO$5),"")</f>
        <v>0</v>
      </c>
      <c r="AP19" s="27">
        <f>IFERROR(BDH(C19,"PX_LAST",AP$5,AP$5),"")</f>
        <v>0</v>
      </c>
      <c r="AQ19" s="27">
        <f>IFERROR(BDH(C19,"PX_LAST",AQ$5,AQ$5),"")</f>
        <v>0</v>
      </c>
      <c r="AR19" s="27">
        <f>IFERROR(BDH(C19,"PX_LAST",AR$5,AR$5),"")</f>
        <v>0</v>
      </c>
      <c r="AS19" s="27">
        <f>IFERROR(BDH(C19,"PX_LAST",AS$5,AS$5),"")</f>
        <v>0</v>
      </c>
      <c r="AT19" s="27">
        <f>IFERROR(BDH(C19,"PX_LAST",AT$5,AT$5),"")</f>
        <v>0</v>
      </c>
      <c r="AU19" s="27">
        <f>IFERROR(BDH(C19,"PX_LAST",AU$5,AU$5),"")</f>
        <v>0</v>
      </c>
      <c r="AV19" s="27">
        <f>IFERROR(BDH(C19,"PX_LAST",AV$5,AV$5),"")</f>
        <v>0</v>
      </c>
      <c r="AW19" s="27">
        <f>IFERROR(BDH(C19,"PX_LAST",AW$5,AW$5),"")</f>
        <v>0</v>
      </c>
      <c r="AX19" s="27">
        <f>IFERROR(BDH(C19,"PX_LAST",AX$5,AX$5),"")</f>
        <v>0</v>
      </c>
      <c r="AY19" s="27">
        <f>IFERROR(BDH(C19,"PX_LAST",AY$5,AY$5),"")</f>
        <v>0</v>
      </c>
      <c r="AZ19" s="27">
        <f>IFERROR(BDH(C19,"PX_LAST",AZ$5,AZ$5),"")</f>
        <v>0</v>
      </c>
      <c r="BA19" s="27">
        <f>IFERROR(BDH(C19,"PX_LAST",BA$5,BA$5),"")</f>
        <v>0</v>
      </c>
      <c r="BB19" s="27">
        <f>IFERROR(BDH(C19,"PX_LAST",BB$5,BB$5),"")</f>
        <v>0</v>
      </c>
      <c r="BC19" s="27">
        <f>IFERROR(BDH(C19,"PX_LAST",BC$5,BC$5),"")</f>
        <v>0</v>
      </c>
    </row>
    <row r="20" spans="1:55" ht="20" customHeight="1">
      <c r="A20">
        <f>IFERROR(LARGE(SFI!$G:$G,15),0)</f>
        <v>0</v>
      </c>
      <c r="B20">
        <f>IFERROR(MATCH(A20,SFI!$G:$G,0),0)</f>
        <v>0</v>
      </c>
      <c r="C20" s="32">
        <f>IFERROR(INDEX(SFI!$D:$D,B20),"")</f>
        <v>0</v>
      </c>
      <c r="D20" s="33">
        <f>IFERROR(INDEX(SFI!$C:$C,B20),"")</f>
        <v>0</v>
      </c>
      <c r="E20" s="34">
        <f>IFERROR(BDP(C20,"BID_SIZE"),"")</f>
        <v>0</v>
      </c>
      <c r="F20" s="35">
        <f>IFERROR(BDP(C20,"PX_BID"),"")</f>
        <v>0</v>
      </c>
      <c r="G20" s="35">
        <f>IFERROR(BDP(C20,"PX_ASK"),"")</f>
        <v>0</v>
      </c>
      <c r="H20" s="34">
        <f>IFERROR(BDP(C20,"ASK_SIZE"),"")</f>
        <v>0</v>
      </c>
      <c r="I20" s="34">
        <f>IFERROR(BDP(C20,"VOLUME"),"")</f>
        <v>0</v>
      </c>
      <c r="J20" s="35">
        <f>IFERROR(BDP(C20,"PX_LAST"),"")</f>
        <v>0</v>
      </c>
      <c r="K20" s="33">
        <f>IFERROR(BDP(C20,"LAST_UPDATE_DT_EXCH_TZ"),"")</f>
        <v>0</v>
      </c>
      <c r="L20" s="36">
        <f>IFERROR(INDEX(SFI!$B:$B,B20),"")</f>
        <v>0</v>
      </c>
      <c r="AC20" s="25">
        <f>IFERROR(AVERAGE(AG20:BC20),"")</f>
        <v>0</v>
      </c>
      <c r="AD20" s="25">
        <f>IFERROR(STDEV(AG20:BC20),"")</f>
        <v>0</v>
      </c>
      <c r="AE20" s="26">
        <f>IFERROR(IF(AD20=0,"",(J20-AC20)/AD20),"")</f>
        <v>0</v>
      </c>
      <c r="AG20" s="27">
        <f>IFERROR(BDH(C20,"PX_LAST",AG$5,AG$5),"")</f>
        <v>0</v>
      </c>
      <c r="AH20" s="27">
        <f>IFERROR(BDH(C20,"PX_LAST",AH$5,AH$5),"")</f>
        <v>0</v>
      </c>
      <c r="AI20" s="27">
        <f>IFERROR(BDH(C20,"PX_LAST",AI$5,AI$5),"")</f>
        <v>0</v>
      </c>
      <c r="AJ20" s="27">
        <f>IFERROR(BDH(C20,"PX_LAST",AJ$5,AJ$5),"")</f>
        <v>0</v>
      </c>
      <c r="AK20" s="27">
        <f>IFERROR(BDH(C20,"PX_LAST",AK$5,AK$5),"")</f>
        <v>0</v>
      </c>
      <c r="AL20" s="27">
        <f>IFERROR(BDH(C20,"PX_LAST",AL$5,AL$5),"")</f>
        <v>0</v>
      </c>
      <c r="AM20" s="27">
        <f>IFERROR(BDH(C20,"PX_LAST",AM$5,AM$5),"")</f>
        <v>0</v>
      </c>
      <c r="AN20" s="27">
        <f>IFERROR(BDH(C20,"PX_LAST",AN$5,AN$5),"")</f>
        <v>0</v>
      </c>
      <c r="AO20" s="27">
        <f>IFERROR(BDH(C20,"PX_LAST",AO$5,AO$5),"")</f>
        <v>0</v>
      </c>
      <c r="AP20" s="27">
        <f>IFERROR(BDH(C20,"PX_LAST",AP$5,AP$5),"")</f>
        <v>0</v>
      </c>
      <c r="AQ20" s="27">
        <f>IFERROR(BDH(C20,"PX_LAST",AQ$5,AQ$5),"")</f>
        <v>0</v>
      </c>
      <c r="AR20" s="27">
        <f>IFERROR(BDH(C20,"PX_LAST",AR$5,AR$5),"")</f>
        <v>0</v>
      </c>
      <c r="AS20" s="27">
        <f>IFERROR(BDH(C20,"PX_LAST",AS$5,AS$5),"")</f>
        <v>0</v>
      </c>
      <c r="AT20" s="27">
        <f>IFERROR(BDH(C20,"PX_LAST",AT$5,AT$5),"")</f>
        <v>0</v>
      </c>
      <c r="AU20" s="27">
        <f>IFERROR(BDH(C20,"PX_LAST",AU$5,AU$5),"")</f>
        <v>0</v>
      </c>
      <c r="AV20" s="27">
        <f>IFERROR(BDH(C20,"PX_LAST",AV$5,AV$5),"")</f>
        <v>0</v>
      </c>
      <c r="AW20" s="27">
        <f>IFERROR(BDH(C20,"PX_LAST",AW$5,AW$5),"")</f>
        <v>0</v>
      </c>
      <c r="AX20" s="27">
        <f>IFERROR(BDH(C20,"PX_LAST",AX$5,AX$5),"")</f>
        <v>0</v>
      </c>
      <c r="AY20" s="27">
        <f>IFERROR(BDH(C20,"PX_LAST",AY$5,AY$5),"")</f>
        <v>0</v>
      </c>
      <c r="AZ20" s="27">
        <f>IFERROR(BDH(C20,"PX_LAST",AZ$5,AZ$5),"")</f>
        <v>0</v>
      </c>
      <c r="BA20" s="27">
        <f>IFERROR(BDH(C20,"PX_LAST",BA$5,BA$5),"")</f>
        <v>0</v>
      </c>
      <c r="BB20" s="27">
        <f>IFERROR(BDH(C20,"PX_LAST",BB$5,BB$5),"")</f>
        <v>0</v>
      </c>
      <c r="BC20" s="27">
        <f>IFERROR(BDH(C20,"PX_LAST",BC$5,BC$5),"")</f>
        <v>0</v>
      </c>
    </row>
    <row r="22" spans="1:55">
      <c r="C22" s="28" t="s">
        <v>1564</v>
      </c>
    </row>
  </sheetData>
  <mergeCells count="1">
    <mergeCell ref="A1:B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Top15'!AG20:BC20</xm:f>
              <xm:sqref>AF20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Top15'!AG19:BC19</xm:f>
              <xm:sqref>AF19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Top15'!AG18:BC18</xm:f>
              <xm:sqref>AF18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Top15'!AG17:BC17</xm:f>
              <xm:sqref>AF17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Top15'!AG16:BC16</xm:f>
              <xm:sqref>AF16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Top15'!AG15:BC15</xm:f>
              <xm:sqref>AF15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Top15'!AG14:BC14</xm:f>
              <xm:sqref>AF14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Top15'!AG13:BC13</xm:f>
              <xm:sqref>AF13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Top15'!AG12:BC12</xm:f>
              <xm:sqref>AF12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Top15'!AG11:BC11</xm:f>
              <xm:sqref>AF11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Top15'!AG10:BC10</xm:f>
              <xm:sqref>AF10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Top15'!AG9:BC9</xm:f>
              <xm:sqref>AF9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Top15'!AG8:BC8</xm:f>
              <xm:sqref>AF8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Top15'!AG7:BC7</xm:f>
              <xm:sqref>AF7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Top15'!AG6:BC6</xm:f>
              <xm:sqref>AF6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dimension ref="A1:BC22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2" width="0" customWidth="1"/>
    <col min="3" max="3" width="24.7109375" customWidth="1"/>
    <col min="4" max="4" width="38.7109375" customWidth="1"/>
    <col min="5" max="5" width="10.7109375" customWidth="1"/>
    <col min="6" max="7" width="9.7109375" customWidth="1"/>
    <col min="8" max="8" width="10.7109375" customWidth="1"/>
    <col min="9" max="9" width="12.7109375" customWidth="1"/>
    <col min="10" max="10" width="11.7109375" customWidth="1"/>
    <col min="11" max="11" width="26.7109375" customWidth="1"/>
    <col min="12" max="12" width="14.7109375" customWidth="1"/>
    <col min="29" max="30" width="11.7109375" customWidth="1"/>
    <col min="31" max="31" width="10.7109375" customWidth="1"/>
    <col min="32" max="32" width="18.7109375" customWidth="1"/>
    <col min="33" max="55" width="7.7109375" customWidth="1"/>
  </cols>
  <sheetData>
    <row r="1" spans="1:55" ht="26" customHeight="1">
      <c r="A1" s="37" t="s">
        <v>1565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ht="5" customHeight="1"/>
    <row r="3" spans="1:55" ht="5" customHeight="1"/>
    <row r="4" spans="1:55" ht="5" customHeight="1"/>
    <row r="5" spans="1:55" ht="30" customHeight="1">
      <c r="C5" s="38" t="s">
        <v>1550</v>
      </c>
      <c r="D5" s="38" t="s">
        <v>2</v>
      </c>
      <c r="E5" s="38" t="s">
        <v>1551</v>
      </c>
      <c r="F5" s="38" t="s">
        <v>7</v>
      </c>
      <c r="G5" s="38" t="s">
        <v>8</v>
      </c>
      <c r="H5" s="38" t="s">
        <v>1552</v>
      </c>
      <c r="I5" s="38" t="s">
        <v>1553</v>
      </c>
      <c r="J5" s="38" t="s">
        <v>1554</v>
      </c>
      <c r="K5" s="38" t="s">
        <v>1555</v>
      </c>
      <c r="L5" s="38" t="s">
        <v>1556</v>
      </c>
      <c r="AC5" s="39" t="s">
        <v>1557</v>
      </c>
      <c r="AD5" s="39" t="s">
        <v>1558</v>
      </c>
      <c r="AE5" s="39" t="s">
        <v>1559</v>
      </c>
      <c r="AF5" s="39" t="s">
        <v>1566</v>
      </c>
      <c r="AG5" s="19">
        <f>WORKDAY(TODAY(),-23)</f>
        <v>0</v>
      </c>
      <c r="AH5" s="19">
        <f>WORKDAY(TODAY(),-22)</f>
        <v>0</v>
      </c>
      <c r="AI5" s="19">
        <f>WORKDAY(TODAY(),-21)</f>
        <v>0</v>
      </c>
      <c r="AJ5" s="19">
        <f>WORKDAY(TODAY(),-20)</f>
        <v>0</v>
      </c>
      <c r="AK5" s="19">
        <f>WORKDAY(TODAY(),-19)</f>
        <v>0</v>
      </c>
      <c r="AL5" s="19">
        <f>WORKDAY(TODAY(),-18)</f>
        <v>0</v>
      </c>
      <c r="AM5" s="19">
        <f>WORKDAY(TODAY(),-17)</f>
        <v>0</v>
      </c>
      <c r="AN5" s="19">
        <f>WORKDAY(TODAY(),-16)</f>
        <v>0</v>
      </c>
      <c r="AO5" s="19">
        <f>WORKDAY(TODAY(),-15)</f>
        <v>0</v>
      </c>
      <c r="AP5" s="19">
        <f>WORKDAY(TODAY(),-14)</f>
        <v>0</v>
      </c>
      <c r="AQ5" s="19">
        <f>WORKDAY(TODAY(),-13)</f>
        <v>0</v>
      </c>
      <c r="AR5" s="19">
        <f>WORKDAY(TODAY(),-12)</f>
        <v>0</v>
      </c>
      <c r="AS5" s="19">
        <f>WORKDAY(TODAY(),-11)</f>
        <v>0</v>
      </c>
      <c r="AT5" s="19">
        <f>WORKDAY(TODAY(),-10)</f>
        <v>0</v>
      </c>
      <c r="AU5" s="19">
        <f>WORKDAY(TODAY(),-9)</f>
        <v>0</v>
      </c>
      <c r="AV5" s="19">
        <f>WORKDAY(TODAY(),-8)</f>
        <v>0</v>
      </c>
      <c r="AW5" s="19">
        <f>WORKDAY(TODAY(),-7)</f>
        <v>0</v>
      </c>
      <c r="AX5" s="19">
        <f>WORKDAY(TODAY(),-6)</f>
        <v>0</v>
      </c>
      <c r="AY5" s="19">
        <f>WORKDAY(TODAY(),-5)</f>
        <v>0</v>
      </c>
      <c r="AZ5" s="19">
        <f>WORKDAY(TODAY(),-4)</f>
        <v>0</v>
      </c>
      <c r="BA5" s="19">
        <f>WORKDAY(TODAY(),-3)</f>
        <v>0</v>
      </c>
      <c r="BB5" s="19">
        <f>WORKDAY(TODAY(),-2)</f>
        <v>0</v>
      </c>
      <c r="BC5" s="19">
        <f>WORKDAY(TODAY(),-1)</f>
        <v>0</v>
      </c>
    </row>
    <row r="6" spans="1:55" ht="20" customHeight="1">
      <c r="A6">
        <f>IFERROR(LARGE(ER!$G:$G,1),0)</f>
        <v>0</v>
      </c>
      <c r="B6">
        <f>IFERROR(MATCH(A6,ER!$G:$G,0),0)</f>
        <v>0</v>
      </c>
      <c r="C6" s="40">
        <f>IFERROR(INDEX(ER!$D:$D,B6),"")</f>
        <v>0</v>
      </c>
      <c r="D6" s="41">
        <f>IFERROR(INDEX(ER!$C:$C,B6),"")</f>
        <v>0</v>
      </c>
      <c r="E6" s="42">
        <f>IFERROR(BDP(C6,"BID_SIZE"),"")</f>
        <v>0</v>
      </c>
      <c r="F6" s="43">
        <f>IFERROR(BDP(C6,"PX_BID"),"")</f>
        <v>0</v>
      </c>
      <c r="G6" s="43">
        <f>IFERROR(BDP(C6,"PX_ASK"),"")</f>
        <v>0</v>
      </c>
      <c r="H6" s="42">
        <f>IFERROR(BDP(C6,"ASK_SIZE"),"")</f>
        <v>0</v>
      </c>
      <c r="I6" s="42">
        <f>IFERROR(BDP(C6,"VOLUME"),"")</f>
        <v>0</v>
      </c>
      <c r="J6" s="43">
        <f>IFERROR(BDP(C6,"PX_LAST"),"")</f>
        <v>0</v>
      </c>
      <c r="K6" s="41">
        <f>IFERROR(BDP(C6,"LAST_UPDATE_DT_EXCH_TZ"),"")</f>
        <v>0</v>
      </c>
      <c r="L6" s="44">
        <f>IFERROR(INDEX(ER!$B:$B,B6),"")</f>
        <v>0</v>
      </c>
      <c r="AC6" s="25">
        <f>IFERROR(AVERAGE(AG6:BC6),"")</f>
        <v>0</v>
      </c>
      <c r="AD6" s="25">
        <f>IFERROR(STDEV(AG6:BC6),"")</f>
        <v>0</v>
      </c>
      <c r="AE6" s="26">
        <f>IFERROR(IF(AD6=0,"",(J6-AC6)/AD6),"")</f>
        <v>0</v>
      </c>
      <c r="AG6" s="27">
        <f>IFERROR(BDH(C6,"PX_LAST",AG$5,AG$5),"")</f>
        <v>0</v>
      </c>
      <c r="AH6" s="27">
        <f>IFERROR(BDH(C6,"PX_LAST",AH$5,AH$5),"")</f>
        <v>0</v>
      </c>
      <c r="AI6" s="27">
        <f>IFERROR(BDH(C6,"PX_LAST",AI$5,AI$5),"")</f>
        <v>0</v>
      </c>
      <c r="AJ6" s="27">
        <f>IFERROR(BDH(C6,"PX_LAST",AJ$5,AJ$5),"")</f>
        <v>0</v>
      </c>
      <c r="AK6" s="27">
        <f>IFERROR(BDH(C6,"PX_LAST",AK$5,AK$5),"")</f>
        <v>0</v>
      </c>
      <c r="AL6" s="27">
        <f>IFERROR(BDH(C6,"PX_LAST",AL$5,AL$5),"")</f>
        <v>0</v>
      </c>
      <c r="AM6" s="27">
        <f>IFERROR(BDH(C6,"PX_LAST",AM$5,AM$5),"")</f>
        <v>0</v>
      </c>
      <c r="AN6" s="27">
        <f>IFERROR(BDH(C6,"PX_LAST",AN$5,AN$5),"")</f>
        <v>0</v>
      </c>
      <c r="AO6" s="27">
        <f>IFERROR(BDH(C6,"PX_LAST",AO$5,AO$5),"")</f>
        <v>0</v>
      </c>
      <c r="AP6" s="27">
        <f>IFERROR(BDH(C6,"PX_LAST",AP$5,AP$5),"")</f>
        <v>0</v>
      </c>
      <c r="AQ6" s="27">
        <f>IFERROR(BDH(C6,"PX_LAST",AQ$5,AQ$5),"")</f>
        <v>0</v>
      </c>
      <c r="AR6" s="27">
        <f>IFERROR(BDH(C6,"PX_LAST",AR$5,AR$5),"")</f>
        <v>0</v>
      </c>
      <c r="AS6" s="27">
        <f>IFERROR(BDH(C6,"PX_LAST",AS$5,AS$5),"")</f>
        <v>0</v>
      </c>
      <c r="AT6" s="27">
        <f>IFERROR(BDH(C6,"PX_LAST",AT$5,AT$5),"")</f>
        <v>0</v>
      </c>
      <c r="AU6" s="27">
        <f>IFERROR(BDH(C6,"PX_LAST",AU$5,AU$5),"")</f>
        <v>0</v>
      </c>
      <c r="AV6" s="27">
        <f>IFERROR(BDH(C6,"PX_LAST",AV$5,AV$5),"")</f>
        <v>0</v>
      </c>
      <c r="AW6" s="27">
        <f>IFERROR(BDH(C6,"PX_LAST",AW$5,AW$5),"")</f>
        <v>0</v>
      </c>
      <c r="AX6" s="27">
        <f>IFERROR(BDH(C6,"PX_LAST",AX$5,AX$5),"")</f>
        <v>0</v>
      </c>
      <c r="AY6" s="27">
        <f>IFERROR(BDH(C6,"PX_LAST",AY$5,AY$5),"")</f>
        <v>0</v>
      </c>
      <c r="AZ6" s="27">
        <f>IFERROR(BDH(C6,"PX_LAST",AZ$5,AZ$5),"")</f>
        <v>0</v>
      </c>
      <c r="BA6" s="27">
        <f>IFERROR(BDH(C6,"PX_LAST",BA$5,BA$5),"")</f>
        <v>0</v>
      </c>
      <c r="BB6" s="27">
        <f>IFERROR(BDH(C6,"PX_LAST",BB$5,BB$5),"")</f>
        <v>0</v>
      </c>
      <c r="BC6" s="27">
        <f>IFERROR(BDH(C6,"PX_LAST",BC$5,BC$5),"")</f>
        <v>0</v>
      </c>
    </row>
    <row r="7" spans="1:55" ht="20" customHeight="1">
      <c r="A7">
        <f>IFERROR(LARGE(ER!$G:$G,2),0)</f>
        <v>0</v>
      </c>
      <c r="B7">
        <f>IFERROR(MATCH(A7,ER!$G:$G,0),0)</f>
        <v>0</v>
      </c>
      <c r="C7" s="40">
        <f>IFERROR(INDEX(ER!$D:$D,B7),"")</f>
        <v>0</v>
      </c>
      <c r="D7" s="41">
        <f>IFERROR(INDEX(ER!$C:$C,B7),"")</f>
        <v>0</v>
      </c>
      <c r="E7" s="42">
        <f>IFERROR(BDP(C7,"BID_SIZE"),"")</f>
        <v>0</v>
      </c>
      <c r="F7" s="43">
        <f>IFERROR(BDP(C7,"PX_BID"),"")</f>
        <v>0</v>
      </c>
      <c r="G7" s="43">
        <f>IFERROR(BDP(C7,"PX_ASK"),"")</f>
        <v>0</v>
      </c>
      <c r="H7" s="42">
        <f>IFERROR(BDP(C7,"ASK_SIZE"),"")</f>
        <v>0</v>
      </c>
      <c r="I7" s="42">
        <f>IFERROR(BDP(C7,"VOLUME"),"")</f>
        <v>0</v>
      </c>
      <c r="J7" s="43">
        <f>IFERROR(BDP(C7,"PX_LAST"),"")</f>
        <v>0</v>
      </c>
      <c r="K7" s="41">
        <f>IFERROR(BDP(C7,"LAST_UPDATE_DT_EXCH_TZ"),"")</f>
        <v>0</v>
      </c>
      <c r="L7" s="44">
        <f>IFERROR(INDEX(ER!$B:$B,B7),"")</f>
        <v>0</v>
      </c>
      <c r="AC7" s="25">
        <f>IFERROR(AVERAGE(AG7:BC7),"")</f>
        <v>0</v>
      </c>
      <c r="AD7" s="25">
        <f>IFERROR(STDEV(AG7:BC7),"")</f>
        <v>0</v>
      </c>
      <c r="AE7" s="26">
        <f>IFERROR(IF(AD7=0,"",(J7-AC7)/AD7),"")</f>
        <v>0</v>
      </c>
      <c r="AG7" s="27">
        <f>IFERROR(BDH(C7,"PX_LAST",AG$5,AG$5),"")</f>
        <v>0</v>
      </c>
      <c r="AH7" s="27">
        <f>IFERROR(BDH(C7,"PX_LAST",AH$5,AH$5),"")</f>
        <v>0</v>
      </c>
      <c r="AI7" s="27">
        <f>IFERROR(BDH(C7,"PX_LAST",AI$5,AI$5),"")</f>
        <v>0</v>
      </c>
      <c r="AJ7" s="27">
        <f>IFERROR(BDH(C7,"PX_LAST",AJ$5,AJ$5),"")</f>
        <v>0</v>
      </c>
      <c r="AK7" s="27">
        <f>IFERROR(BDH(C7,"PX_LAST",AK$5,AK$5),"")</f>
        <v>0</v>
      </c>
      <c r="AL7" s="27">
        <f>IFERROR(BDH(C7,"PX_LAST",AL$5,AL$5),"")</f>
        <v>0</v>
      </c>
      <c r="AM7" s="27">
        <f>IFERROR(BDH(C7,"PX_LAST",AM$5,AM$5),"")</f>
        <v>0</v>
      </c>
      <c r="AN7" s="27">
        <f>IFERROR(BDH(C7,"PX_LAST",AN$5,AN$5),"")</f>
        <v>0</v>
      </c>
      <c r="AO7" s="27">
        <f>IFERROR(BDH(C7,"PX_LAST",AO$5,AO$5),"")</f>
        <v>0</v>
      </c>
      <c r="AP7" s="27">
        <f>IFERROR(BDH(C7,"PX_LAST",AP$5,AP$5),"")</f>
        <v>0</v>
      </c>
      <c r="AQ7" s="27">
        <f>IFERROR(BDH(C7,"PX_LAST",AQ$5,AQ$5),"")</f>
        <v>0</v>
      </c>
      <c r="AR7" s="27">
        <f>IFERROR(BDH(C7,"PX_LAST",AR$5,AR$5),"")</f>
        <v>0</v>
      </c>
      <c r="AS7" s="27">
        <f>IFERROR(BDH(C7,"PX_LAST",AS$5,AS$5),"")</f>
        <v>0</v>
      </c>
      <c r="AT7" s="27">
        <f>IFERROR(BDH(C7,"PX_LAST",AT$5,AT$5),"")</f>
        <v>0</v>
      </c>
      <c r="AU7" s="27">
        <f>IFERROR(BDH(C7,"PX_LAST",AU$5,AU$5),"")</f>
        <v>0</v>
      </c>
      <c r="AV7" s="27">
        <f>IFERROR(BDH(C7,"PX_LAST",AV$5,AV$5),"")</f>
        <v>0</v>
      </c>
      <c r="AW7" s="27">
        <f>IFERROR(BDH(C7,"PX_LAST",AW$5,AW$5),"")</f>
        <v>0</v>
      </c>
      <c r="AX7" s="27">
        <f>IFERROR(BDH(C7,"PX_LAST",AX$5,AX$5),"")</f>
        <v>0</v>
      </c>
      <c r="AY7" s="27">
        <f>IFERROR(BDH(C7,"PX_LAST",AY$5,AY$5),"")</f>
        <v>0</v>
      </c>
      <c r="AZ7" s="27">
        <f>IFERROR(BDH(C7,"PX_LAST",AZ$5,AZ$5),"")</f>
        <v>0</v>
      </c>
      <c r="BA7" s="27">
        <f>IFERROR(BDH(C7,"PX_LAST",BA$5,BA$5),"")</f>
        <v>0</v>
      </c>
      <c r="BB7" s="27">
        <f>IFERROR(BDH(C7,"PX_LAST",BB$5,BB$5),"")</f>
        <v>0</v>
      </c>
      <c r="BC7" s="27">
        <f>IFERROR(BDH(C7,"PX_LAST",BC$5,BC$5),"")</f>
        <v>0</v>
      </c>
    </row>
    <row r="8" spans="1:55" ht="20" customHeight="1">
      <c r="A8">
        <f>IFERROR(LARGE(ER!$G:$G,3),0)</f>
        <v>0</v>
      </c>
      <c r="B8">
        <f>IFERROR(MATCH(A8,ER!$G:$G,0),0)</f>
        <v>0</v>
      </c>
      <c r="C8" s="40">
        <f>IFERROR(INDEX(ER!$D:$D,B8),"")</f>
        <v>0</v>
      </c>
      <c r="D8" s="41">
        <f>IFERROR(INDEX(ER!$C:$C,B8),"")</f>
        <v>0</v>
      </c>
      <c r="E8" s="42">
        <f>IFERROR(BDP(C8,"BID_SIZE"),"")</f>
        <v>0</v>
      </c>
      <c r="F8" s="43">
        <f>IFERROR(BDP(C8,"PX_BID"),"")</f>
        <v>0</v>
      </c>
      <c r="G8" s="43">
        <f>IFERROR(BDP(C8,"PX_ASK"),"")</f>
        <v>0</v>
      </c>
      <c r="H8" s="42">
        <f>IFERROR(BDP(C8,"ASK_SIZE"),"")</f>
        <v>0</v>
      </c>
      <c r="I8" s="42">
        <f>IFERROR(BDP(C8,"VOLUME"),"")</f>
        <v>0</v>
      </c>
      <c r="J8" s="43">
        <f>IFERROR(BDP(C8,"PX_LAST"),"")</f>
        <v>0</v>
      </c>
      <c r="K8" s="41">
        <f>IFERROR(BDP(C8,"LAST_UPDATE_DT_EXCH_TZ"),"")</f>
        <v>0</v>
      </c>
      <c r="L8" s="44">
        <f>IFERROR(INDEX(ER!$B:$B,B8),"")</f>
        <v>0</v>
      </c>
      <c r="AC8" s="25">
        <f>IFERROR(AVERAGE(AG8:BC8),"")</f>
        <v>0</v>
      </c>
      <c r="AD8" s="25">
        <f>IFERROR(STDEV(AG8:BC8),"")</f>
        <v>0</v>
      </c>
      <c r="AE8" s="26">
        <f>IFERROR(IF(AD8=0,"",(J8-AC8)/AD8),"")</f>
        <v>0</v>
      </c>
      <c r="AG8" s="27">
        <f>IFERROR(BDH(C8,"PX_LAST",AG$5,AG$5),"")</f>
        <v>0</v>
      </c>
      <c r="AH8" s="27">
        <f>IFERROR(BDH(C8,"PX_LAST",AH$5,AH$5),"")</f>
        <v>0</v>
      </c>
      <c r="AI8" s="27">
        <f>IFERROR(BDH(C8,"PX_LAST",AI$5,AI$5),"")</f>
        <v>0</v>
      </c>
      <c r="AJ8" s="27">
        <f>IFERROR(BDH(C8,"PX_LAST",AJ$5,AJ$5),"")</f>
        <v>0</v>
      </c>
      <c r="AK8" s="27">
        <f>IFERROR(BDH(C8,"PX_LAST",AK$5,AK$5),"")</f>
        <v>0</v>
      </c>
      <c r="AL8" s="27">
        <f>IFERROR(BDH(C8,"PX_LAST",AL$5,AL$5),"")</f>
        <v>0</v>
      </c>
      <c r="AM8" s="27">
        <f>IFERROR(BDH(C8,"PX_LAST",AM$5,AM$5),"")</f>
        <v>0</v>
      </c>
      <c r="AN8" s="27">
        <f>IFERROR(BDH(C8,"PX_LAST",AN$5,AN$5),"")</f>
        <v>0</v>
      </c>
      <c r="AO8" s="27">
        <f>IFERROR(BDH(C8,"PX_LAST",AO$5,AO$5),"")</f>
        <v>0</v>
      </c>
      <c r="AP8" s="27">
        <f>IFERROR(BDH(C8,"PX_LAST",AP$5,AP$5),"")</f>
        <v>0</v>
      </c>
      <c r="AQ8" s="27">
        <f>IFERROR(BDH(C8,"PX_LAST",AQ$5,AQ$5),"")</f>
        <v>0</v>
      </c>
      <c r="AR8" s="27">
        <f>IFERROR(BDH(C8,"PX_LAST",AR$5,AR$5),"")</f>
        <v>0</v>
      </c>
      <c r="AS8" s="27">
        <f>IFERROR(BDH(C8,"PX_LAST",AS$5,AS$5),"")</f>
        <v>0</v>
      </c>
      <c r="AT8" s="27">
        <f>IFERROR(BDH(C8,"PX_LAST",AT$5,AT$5),"")</f>
        <v>0</v>
      </c>
      <c r="AU8" s="27">
        <f>IFERROR(BDH(C8,"PX_LAST",AU$5,AU$5),"")</f>
        <v>0</v>
      </c>
      <c r="AV8" s="27">
        <f>IFERROR(BDH(C8,"PX_LAST",AV$5,AV$5),"")</f>
        <v>0</v>
      </c>
      <c r="AW8" s="27">
        <f>IFERROR(BDH(C8,"PX_LAST",AW$5,AW$5),"")</f>
        <v>0</v>
      </c>
      <c r="AX8" s="27">
        <f>IFERROR(BDH(C8,"PX_LAST",AX$5,AX$5),"")</f>
        <v>0</v>
      </c>
      <c r="AY8" s="27">
        <f>IFERROR(BDH(C8,"PX_LAST",AY$5,AY$5),"")</f>
        <v>0</v>
      </c>
      <c r="AZ8" s="27">
        <f>IFERROR(BDH(C8,"PX_LAST",AZ$5,AZ$5),"")</f>
        <v>0</v>
      </c>
      <c r="BA8" s="27">
        <f>IFERROR(BDH(C8,"PX_LAST",BA$5,BA$5),"")</f>
        <v>0</v>
      </c>
      <c r="BB8" s="27">
        <f>IFERROR(BDH(C8,"PX_LAST",BB$5,BB$5),"")</f>
        <v>0</v>
      </c>
      <c r="BC8" s="27">
        <f>IFERROR(BDH(C8,"PX_LAST",BC$5,BC$5),"")</f>
        <v>0</v>
      </c>
    </row>
    <row r="9" spans="1:55" ht="20" customHeight="1">
      <c r="A9">
        <f>IFERROR(LARGE(ER!$G:$G,4),0)</f>
        <v>0</v>
      </c>
      <c r="B9">
        <f>IFERROR(MATCH(A9,ER!$G:$G,0),0)</f>
        <v>0</v>
      </c>
      <c r="C9" s="40">
        <f>IFERROR(INDEX(ER!$D:$D,B9),"")</f>
        <v>0</v>
      </c>
      <c r="D9" s="41">
        <f>IFERROR(INDEX(ER!$C:$C,B9),"")</f>
        <v>0</v>
      </c>
      <c r="E9" s="42">
        <f>IFERROR(BDP(C9,"BID_SIZE"),"")</f>
        <v>0</v>
      </c>
      <c r="F9" s="43">
        <f>IFERROR(BDP(C9,"PX_BID"),"")</f>
        <v>0</v>
      </c>
      <c r="G9" s="43">
        <f>IFERROR(BDP(C9,"PX_ASK"),"")</f>
        <v>0</v>
      </c>
      <c r="H9" s="42">
        <f>IFERROR(BDP(C9,"ASK_SIZE"),"")</f>
        <v>0</v>
      </c>
      <c r="I9" s="42">
        <f>IFERROR(BDP(C9,"VOLUME"),"")</f>
        <v>0</v>
      </c>
      <c r="J9" s="43">
        <f>IFERROR(BDP(C9,"PX_LAST"),"")</f>
        <v>0</v>
      </c>
      <c r="K9" s="41">
        <f>IFERROR(BDP(C9,"LAST_UPDATE_DT_EXCH_TZ"),"")</f>
        <v>0</v>
      </c>
      <c r="L9" s="44">
        <f>IFERROR(INDEX(ER!$B:$B,B9),"")</f>
        <v>0</v>
      </c>
      <c r="AC9" s="25">
        <f>IFERROR(AVERAGE(AG9:BC9),"")</f>
        <v>0</v>
      </c>
      <c r="AD9" s="25">
        <f>IFERROR(STDEV(AG9:BC9),"")</f>
        <v>0</v>
      </c>
      <c r="AE9" s="26">
        <f>IFERROR(IF(AD9=0,"",(J9-AC9)/AD9),"")</f>
        <v>0</v>
      </c>
      <c r="AG9" s="27">
        <f>IFERROR(BDH(C9,"PX_LAST",AG$5,AG$5),"")</f>
        <v>0</v>
      </c>
      <c r="AH9" s="27">
        <f>IFERROR(BDH(C9,"PX_LAST",AH$5,AH$5),"")</f>
        <v>0</v>
      </c>
      <c r="AI9" s="27">
        <f>IFERROR(BDH(C9,"PX_LAST",AI$5,AI$5),"")</f>
        <v>0</v>
      </c>
      <c r="AJ9" s="27">
        <f>IFERROR(BDH(C9,"PX_LAST",AJ$5,AJ$5),"")</f>
        <v>0</v>
      </c>
      <c r="AK9" s="27">
        <f>IFERROR(BDH(C9,"PX_LAST",AK$5,AK$5),"")</f>
        <v>0</v>
      </c>
      <c r="AL9" s="27">
        <f>IFERROR(BDH(C9,"PX_LAST",AL$5,AL$5),"")</f>
        <v>0</v>
      </c>
      <c r="AM9" s="27">
        <f>IFERROR(BDH(C9,"PX_LAST",AM$5,AM$5),"")</f>
        <v>0</v>
      </c>
      <c r="AN9" s="27">
        <f>IFERROR(BDH(C9,"PX_LAST",AN$5,AN$5),"")</f>
        <v>0</v>
      </c>
      <c r="AO9" s="27">
        <f>IFERROR(BDH(C9,"PX_LAST",AO$5,AO$5),"")</f>
        <v>0</v>
      </c>
      <c r="AP9" s="27">
        <f>IFERROR(BDH(C9,"PX_LAST",AP$5,AP$5),"")</f>
        <v>0</v>
      </c>
      <c r="AQ9" s="27">
        <f>IFERROR(BDH(C9,"PX_LAST",AQ$5,AQ$5),"")</f>
        <v>0</v>
      </c>
      <c r="AR9" s="27">
        <f>IFERROR(BDH(C9,"PX_LAST",AR$5,AR$5),"")</f>
        <v>0</v>
      </c>
      <c r="AS9" s="27">
        <f>IFERROR(BDH(C9,"PX_LAST",AS$5,AS$5),"")</f>
        <v>0</v>
      </c>
      <c r="AT9" s="27">
        <f>IFERROR(BDH(C9,"PX_LAST",AT$5,AT$5),"")</f>
        <v>0</v>
      </c>
      <c r="AU9" s="27">
        <f>IFERROR(BDH(C9,"PX_LAST",AU$5,AU$5),"")</f>
        <v>0</v>
      </c>
      <c r="AV9" s="27">
        <f>IFERROR(BDH(C9,"PX_LAST",AV$5,AV$5),"")</f>
        <v>0</v>
      </c>
      <c r="AW9" s="27">
        <f>IFERROR(BDH(C9,"PX_LAST",AW$5,AW$5),"")</f>
        <v>0</v>
      </c>
      <c r="AX9" s="27">
        <f>IFERROR(BDH(C9,"PX_LAST",AX$5,AX$5),"")</f>
        <v>0</v>
      </c>
      <c r="AY9" s="27">
        <f>IFERROR(BDH(C9,"PX_LAST",AY$5,AY$5),"")</f>
        <v>0</v>
      </c>
      <c r="AZ9" s="27">
        <f>IFERROR(BDH(C9,"PX_LAST",AZ$5,AZ$5),"")</f>
        <v>0</v>
      </c>
      <c r="BA9" s="27">
        <f>IFERROR(BDH(C9,"PX_LAST",BA$5,BA$5),"")</f>
        <v>0</v>
      </c>
      <c r="BB9" s="27">
        <f>IFERROR(BDH(C9,"PX_LAST",BB$5,BB$5),"")</f>
        <v>0</v>
      </c>
      <c r="BC9" s="27">
        <f>IFERROR(BDH(C9,"PX_LAST",BC$5,BC$5),"")</f>
        <v>0</v>
      </c>
    </row>
    <row r="10" spans="1:55" ht="20" customHeight="1">
      <c r="A10">
        <f>IFERROR(LARGE(ER!$G:$G,5),0)</f>
        <v>0</v>
      </c>
      <c r="B10">
        <f>IFERROR(MATCH(A10,ER!$G:$G,0),0)</f>
        <v>0</v>
      </c>
      <c r="C10" s="40">
        <f>IFERROR(INDEX(ER!$D:$D,B10),"")</f>
        <v>0</v>
      </c>
      <c r="D10" s="41">
        <f>IFERROR(INDEX(ER!$C:$C,B10),"")</f>
        <v>0</v>
      </c>
      <c r="E10" s="42">
        <f>IFERROR(BDP(C10,"BID_SIZE"),"")</f>
        <v>0</v>
      </c>
      <c r="F10" s="43">
        <f>IFERROR(BDP(C10,"PX_BID"),"")</f>
        <v>0</v>
      </c>
      <c r="G10" s="43">
        <f>IFERROR(BDP(C10,"PX_ASK"),"")</f>
        <v>0</v>
      </c>
      <c r="H10" s="42">
        <f>IFERROR(BDP(C10,"ASK_SIZE"),"")</f>
        <v>0</v>
      </c>
      <c r="I10" s="42">
        <f>IFERROR(BDP(C10,"VOLUME"),"")</f>
        <v>0</v>
      </c>
      <c r="J10" s="43">
        <f>IFERROR(BDP(C10,"PX_LAST"),"")</f>
        <v>0</v>
      </c>
      <c r="K10" s="41">
        <f>IFERROR(BDP(C10,"LAST_UPDATE_DT_EXCH_TZ"),"")</f>
        <v>0</v>
      </c>
      <c r="L10" s="44">
        <f>IFERROR(INDEX(ER!$B:$B,B10),"")</f>
        <v>0</v>
      </c>
      <c r="AC10" s="25">
        <f>IFERROR(AVERAGE(AG10:BC10),"")</f>
        <v>0</v>
      </c>
      <c r="AD10" s="25">
        <f>IFERROR(STDEV(AG10:BC10),"")</f>
        <v>0</v>
      </c>
      <c r="AE10" s="26">
        <f>IFERROR(IF(AD10=0,"",(J10-AC10)/AD10),"")</f>
        <v>0</v>
      </c>
      <c r="AG10" s="27">
        <f>IFERROR(BDH(C10,"PX_LAST",AG$5,AG$5),"")</f>
        <v>0</v>
      </c>
      <c r="AH10" s="27">
        <f>IFERROR(BDH(C10,"PX_LAST",AH$5,AH$5),"")</f>
        <v>0</v>
      </c>
      <c r="AI10" s="27">
        <f>IFERROR(BDH(C10,"PX_LAST",AI$5,AI$5),"")</f>
        <v>0</v>
      </c>
      <c r="AJ10" s="27">
        <f>IFERROR(BDH(C10,"PX_LAST",AJ$5,AJ$5),"")</f>
        <v>0</v>
      </c>
      <c r="AK10" s="27">
        <f>IFERROR(BDH(C10,"PX_LAST",AK$5,AK$5),"")</f>
        <v>0</v>
      </c>
      <c r="AL10" s="27">
        <f>IFERROR(BDH(C10,"PX_LAST",AL$5,AL$5),"")</f>
        <v>0</v>
      </c>
      <c r="AM10" s="27">
        <f>IFERROR(BDH(C10,"PX_LAST",AM$5,AM$5),"")</f>
        <v>0</v>
      </c>
      <c r="AN10" s="27">
        <f>IFERROR(BDH(C10,"PX_LAST",AN$5,AN$5),"")</f>
        <v>0</v>
      </c>
      <c r="AO10" s="27">
        <f>IFERROR(BDH(C10,"PX_LAST",AO$5,AO$5),"")</f>
        <v>0</v>
      </c>
      <c r="AP10" s="27">
        <f>IFERROR(BDH(C10,"PX_LAST",AP$5,AP$5),"")</f>
        <v>0</v>
      </c>
      <c r="AQ10" s="27">
        <f>IFERROR(BDH(C10,"PX_LAST",AQ$5,AQ$5),"")</f>
        <v>0</v>
      </c>
      <c r="AR10" s="27">
        <f>IFERROR(BDH(C10,"PX_LAST",AR$5,AR$5),"")</f>
        <v>0</v>
      </c>
      <c r="AS10" s="27">
        <f>IFERROR(BDH(C10,"PX_LAST",AS$5,AS$5),"")</f>
        <v>0</v>
      </c>
      <c r="AT10" s="27">
        <f>IFERROR(BDH(C10,"PX_LAST",AT$5,AT$5),"")</f>
        <v>0</v>
      </c>
      <c r="AU10" s="27">
        <f>IFERROR(BDH(C10,"PX_LAST",AU$5,AU$5),"")</f>
        <v>0</v>
      </c>
      <c r="AV10" s="27">
        <f>IFERROR(BDH(C10,"PX_LAST",AV$5,AV$5),"")</f>
        <v>0</v>
      </c>
      <c r="AW10" s="27">
        <f>IFERROR(BDH(C10,"PX_LAST",AW$5,AW$5),"")</f>
        <v>0</v>
      </c>
      <c r="AX10" s="27">
        <f>IFERROR(BDH(C10,"PX_LAST",AX$5,AX$5),"")</f>
        <v>0</v>
      </c>
      <c r="AY10" s="27">
        <f>IFERROR(BDH(C10,"PX_LAST",AY$5,AY$5),"")</f>
        <v>0</v>
      </c>
      <c r="AZ10" s="27">
        <f>IFERROR(BDH(C10,"PX_LAST",AZ$5,AZ$5),"")</f>
        <v>0</v>
      </c>
      <c r="BA10" s="27">
        <f>IFERROR(BDH(C10,"PX_LAST",BA$5,BA$5),"")</f>
        <v>0</v>
      </c>
      <c r="BB10" s="27">
        <f>IFERROR(BDH(C10,"PX_LAST",BB$5,BB$5),"")</f>
        <v>0</v>
      </c>
      <c r="BC10" s="27">
        <f>IFERROR(BDH(C10,"PX_LAST",BC$5,BC$5),"")</f>
        <v>0</v>
      </c>
    </row>
    <row r="11" spans="1:55" ht="20" customHeight="1">
      <c r="A11">
        <f>IFERROR(LARGE(ER!$G:$G,6),0)</f>
        <v>0</v>
      </c>
      <c r="B11">
        <f>IFERROR(MATCH(A11,ER!$G:$G,0),0)</f>
        <v>0</v>
      </c>
      <c r="C11" s="40">
        <f>IFERROR(INDEX(ER!$D:$D,B11),"")</f>
        <v>0</v>
      </c>
      <c r="D11" s="41">
        <f>IFERROR(INDEX(ER!$C:$C,B11),"")</f>
        <v>0</v>
      </c>
      <c r="E11" s="42">
        <f>IFERROR(BDP(C11,"BID_SIZE"),"")</f>
        <v>0</v>
      </c>
      <c r="F11" s="43">
        <f>IFERROR(BDP(C11,"PX_BID"),"")</f>
        <v>0</v>
      </c>
      <c r="G11" s="43">
        <f>IFERROR(BDP(C11,"PX_ASK"),"")</f>
        <v>0</v>
      </c>
      <c r="H11" s="42">
        <f>IFERROR(BDP(C11,"ASK_SIZE"),"")</f>
        <v>0</v>
      </c>
      <c r="I11" s="42">
        <f>IFERROR(BDP(C11,"VOLUME"),"")</f>
        <v>0</v>
      </c>
      <c r="J11" s="43">
        <f>IFERROR(BDP(C11,"PX_LAST"),"")</f>
        <v>0</v>
      </c>
      <c r="K11" s="41">
        <f>IFERROR(BDP(C11,"LAST_UPDATE_DT_EXCH_TZ"),"")</f>
        <v>0</v>
      </c>
      <c r="L11" s="44">
        <f>IFERROR(INDEX(ER!$B:$B,B11),"")</f>
        <v>0</v>
      </c>
      <c r="AC11" s="25">
        <f>IFERROR(AVERAGE(AG11:BC11),"")</f>
        <v>0</v>
      </c>
      <c r="AD11" s="25">
        <f>IFERROR(STDEV(AG11:BC11),"")</f>
        <v>0</v>
      </c>
      <c r="AE11" s="26">
        <f>IFERROR(IF(AD11=0,"",(J11-AC11)/AD11),"")</f>
        <v>0</v>
      </c>
      <c r="AG11" s="27">
        <f>IFERROR(BDH(C11,"PX_LAST",AG$5,AG$5),"")</f>
        <v>0</v>
      </c>
      <c r="AH11" s="27">
        <f>IFERROR(BDH(C11,"PX_LAST",AH$5,AH$5),"")</f>
        <v>0</v>
      </c>
      <c r="AI11" s="27">
        <f>IFERROR(BDH(C11,"PX_LAST",AI$5,AI$5),"")</f>
        <v>0</v>
      </c>
      <c r="AJ11" s="27">
        <f>IFERROR(BDH(C11,"PX_LAST",AJ$5,AJ$5),"")</f>
        <v>0</v>
      </c>
      <c r="AK11" s="27">
        <f>IFERROR(BDH(C11,"PX_LAST",AK$5,AK$5),"")</f>
        <v>0</v>
      </c>
      <c r="AL11" s="27">
        <f>IFERROR(BDH(C11,"PX_LAST",AL$5,AL$5),"")</f>
        <v>0</v>
      </c>
      <c r="AM11" s="27">
        <f>IFERROR(BDH(C11,"PX_LAST",AM$5,AM$5),"")</f>
        <v>0</v>
      </c>
      <c r="AN11" s="27">
        <f>IFERROR(BDH(C11,"PX_LAST",AN$5,AN$5),"")</f>
        <v>0</v>
      </c>
      <c r="AO11" s="27">
        <f>IFERROR(BDH(C11,"PX_LAST",AO$5,AO$5),"")</f>
        <v>0</v>
      </c>
      <c r="AP11" s="27">
        <f>IFERROR(BDH(C11,"PX_LAST",AP$5,AP$5),"")</f>
        <v>0</v>
      </c>
      <c r="AQ11" s="27">
        <f>IFERROR(BDH(C11,"PX_LAST",AQ$5,AQ$5),"")</f>
        <v>0</v>
      </c>
      <c r="AR11" s="27">
        <f>IFERROR(BDH(C11,"PX_LAST",AR$5,AR$5),"")</f>
        <v>0</v>
      </c>
      <c r="AS11" s="27">
        <f>IFERROR(BDH(C11,"PX_LAST",AS$5,AS$5),"")</f>
        <v>0</v>
      </c>
      <c r="AT11" s="27">
        <f>IFERROR(BDH(C11,"PX_LAST",AT$5,AT$5),"")</f>
        <v>0</v>
      </c>
      <c r="AU11" s="27">
        <f>IFERROR(BDH(C11,"PX_LAST",AU$5,AU$5),"")</f>
        <v>0</v>
      </c>
      <c r="AV11" s="27">
        <f>IFERROR(BDH(C11,"PX_LAST",AV$5,AV$5),"")</f>
        <v>0</v>
      </c>
      <c r="AW11" s="27">
        <f>IFERROR(BDH(C11,"PX_LAST",AW$5,AW$5),"")</f>
        <v>0</v>
      </c>
      <c r="AX11" s="27">
        <f>IFERROR(BDH(C11,"PX_LAST",AX$5,AX$5),"")</f>
        <v>0</v>
      </c>
      <c r="AY11" s="27">
        <f>IFERROR(BDH(C11,"PX_LAST",AY$5,AY$5),"")</f>
        <v>0</v>
      </c>
      <c r="AZ11" s="27">
        <f>IFERROR(BDH(C11,"PX_LAST",AZ$5,AZ$5),"")</f>
        <v>0</v>
      </c>
      <c r="BA11" s="27">
        <f>IFERROR(BDH(C11,"PX_LAST",BA$5,BA$5),"")</f>
        <v>0</v>
      </c>
      <c r="BB11" s="27">
        <f>IFERROR(BDH(C11,"PX_LAST",BB$5,BB$5),"")</f>
        <v>0</v>
      </c>
      <c r="BC11" s="27">
        <f>IFERROR(BDH(C11,"PX_LAST",BC$5,BC$5),"")</f>
        <v>0</v>
      </c>
    </row>
    <row r="12" spans="1:55" ht="20" customHeight="1">
      <c r="A12">
        <f>IFERROR(LARGE(ER!$G:$G,7),0)</f>
        <v>0</v>
      </c>
      <c r="B12">
        <f>IFERROR(MATCH(A12,ER!$G:$G,0),0)</f>
        <v>0</v>
      </c>
      <c r="C12" s="40">
        <f>IFERROR(INDEX(ER!$D:$D,B12),"")</f>
        <v>0</v>
      </c>
      <c r="D12" s="41">
        <f>IFERROR(INDEX(ER!$C:$C,B12),"")</f>
        <v>0</v>
      </c>
      <c r="E12" s="42">
        <f>IFERROR(BDP(C12,"BID_SIZE"),"")</f>
        <v>0</v>
      </c>
      <c r="F12" s="43">
        <f>IFERROR(BDP(C12,"PX_BID"),"")</f>
        <v>0</v>
      </c>
      <c r="G12" s="43">
        <f>IFERROR(BDP(C12,"PX_ASK"),"")</f>
        <v>0</v>
      </c>
      <c r="H12" s="42">
        <f>IFERROR(BDP(C12,"ASK_SIZE"),"")</f>
        <v>0</v>
      </c>
      <c r="I12" s="42">
        <f>IFERROR(BDP(C12,"VOLUME"),"")</f>
        <v>0</v>
      </c>
      <c r="J12" s="43">
        <f>IFERROR(BDP(C12,"PX_LAST"),"")</f>
        <v>0</v>
      </c>
      <c r="K12" s="41">
        <f>IFERROR(BDP(C12,"LAST_UPDATE_DT_EXCH_TZ"),"")</f>
        <v>0</v>
      </c>
      <c r="L12" s="44">
        <f>IFERROR(INDEX(ER!$B:$B,B12),"")</f>
        <v>0</v>
      </c>
      <c r="AC12" s="25">
        <f>IFERROR(AVERAGE(AG12:BC12),"")</f>
        <v>0</v>
      </c>
      <c r="AD12" s="25">
        <f>IFERROR(STDEV(AG12:BC12),"")</f>
        <v>0</v>
      </c>
      <c r="AE12" s="26">
        <f>IFERROR(IF(AD12=0,"",(J12-AC12)/AD12),"")</f>
        <v>0</v>
      </c>
      <c r="AG12" s="27">
        <f>IFERROR(BDH(C12,"PX_LAST",AG$5,AG$5),"")</f>
        <v>0</v>
      </c>
      <c r="AH12" s="27">
        <f>IFERROR(BDH(C12,"PX_LAST",AH$5,AH$5),"")</f>
        <v>0</v>
      </c>
      <c r="AI12" s="27">
        <f>IFERROR(BDH(C12,"PX_LAST",AI$5,AI$5),"")</f>
        <v>0</v>
      </c>
      <c r="AJ12" s="27">
        <f>IFERROR(BDH(C12,"PX_LAST",AJ$5,AJ$5),"")</f>
        <v>0</v>
      </c>
      <c r="AK12" s="27">
        <f>IFERROR(BDH(C12,"PX_LAST",AK$5,AK$5),"")</f>
        <v>0</v>
      </c>
      <c r="AL12" s="27">
        <f>IFERROR(BDH(C12,"PX_LAST",AL$5,AL$5),"")</f>
        <v>0</v>
      </c>
      <c r="AM12" s="27">
        <f>IFERROR(BDH(C12,"PX_LAST",AM$5,AM$5),"")</f>
        <v>0</v>
      </c>
      <c r="AN12" s="27">
        <f>IFERROR(BDH(C12,"PX_LAST",AN$5,AN$5),"")</f>
        <v>0</v>
      </c>
      <c r="AO12" s="27">
        <f>IFERROR(BDH(C12,"PX_LAST",AO$5,AO$5),"")</f>
        <v>0</v>
      </c>
      <c r="AP12" s="27">
        <f>IFERROR(BDH(C12,"PX_LAST",AP$5,AP$5),"")</f>
        <v>0</v>
      </c>
      <c r="AQ12" s="27">
        <f>IFERROR(BDH(C12,"PX_LAST",AQ$5,AQ$5),"")</f>
        <v>0</v>
      </c>
      <c r="AR12" s="27">
        <f>IFERROR(BDH(C12,"PX_LAST",AR$5,AR$5),"")</f>
        <v>0</v>
      </c>
      <c r="AS12" s="27">
        <f>IFERROR(BDH(C12,"PX_LAST",AS$5,AS$5),"")</f>
        <v>0</v>
      </c>
      <c r="AT12" s="27">
        <f>IFERROR(BDH(C12,"PX_LAST",AT$5,AT$5),"")</f>
        <v>0</v>
      </c>
      <c r="AU12" s="27">
        <f>IFERROR(BDH(C12,"PX_LAST",AU$5,AU$5),"")</f>
        <v>0</v>
      </c>
      <c r="AV12" s="27">
        <f>IFERROR(BDH(C12,"PX_LAST",AV$5,AV$5),"")</f>
        <v>0</v>
      </c>
      <c r="AW12" s="27">
        <f>IFERROR(BDH(C12,"PX_LAST",AW$5,AW$5),"")</f>
        <v>0</v>
      </c>
      <c r="AX12" s="27">
        <f>IFERROR(BDH(C12,"PX_LAST",AX$5,AX$5),"")</f>
        <v>0</v>
      </c>
      <c r="AY12" s="27">
        <f>IFERROR(BDH(C12,"PX_LAST",AY$5,AY$5),"")</f>
        <v>0</v>
      </c>
      <c r="AZ12" s="27">
        <f>IFERROR(BDH(C12,"PX_LAST",AZ$5,AZ$5),"")</f>
        <v>0</v>
      </c>
      <c r="BA12" s="27">
        <f>IFERROR(BDH(C12,"PX_LAST",BA$5,BA$5),"")</f>
        <v>0</v>
      </c>
      <c r="BB12" s="27">
        <f>IFERROR(BDH(C12,"PX_LAST",BB$5,BB$5),"")</f>
        <v>0</v>
      </c>
      <c r="BC12" s="27">
        <f>IFERROR(BDH(C12,"PX_LAST",BC$5,BC$5),"")</f>
        <v>0</v>
      </c>
    </row>
    <row r="13" spans="1:55" ht="20" customHeight="1">
      <c r="A13">
        <f>IFERROR(LARGE(ER!$G:$G,8),0)</f>
        <v>0</v>
      </c>
      <c r="B13">
        <f>IFERROR(MATCH(A13,ER!$G:$G,0),0)</f>
        <v>0</v>
      </c>
      <c r="C13" s="40">
        <f>IFERROR(INDEX(ER!$D:$D,B13),"")</f>
        <v>0</v>
      </c>
      <c r="D13" s="41">
        <f>IFERROR(INDEX(ER!$C:$C,B13),"")</f>
        <v>0</v>
      </c>
      <c r="E13" s="42">
        <f>IFERROR(BDP(C13,"BID_SIZE"),"")</f>
        <v>0</v>
      </c>
      <c r="F13" s="43">
        <f>IFERROR(BDP(C13,"PX_BID"),"")</f>
        <v>0</v>
      </c>
      <c r="G13" s="43">
        <f>IFERROR(BDP(C13,"PX_ASK"),"")</f>
        <v>0</v>
      </c>
      <c r="H13" s="42">
        <f>IFERROR(BDP(C13,"ASK_SIZE"),"")</f>
        <v>0</v>
      </c>
      <c r="I13" s="42">
        <f>IFERROR(BDP(C13,"VOLUME"),"")</f>
        <v>0</v>
      </c>
      <c r="J13" s="43">
        <f>IFERROR(BDP(C13,"PX_LAST"),"")</f>
        <v>0</v>
      </c>
      <c r="K13" s="41">
        <f>IFERROR(BDP(C13,"LAST_UPDATE_DT_EXCH_TZ"),"")</f>
        <v>0</v>
      </c>
      <c r="L13" s="44">
        <f>IFERROR(INDEX(ER!$B:$B,B13),"")</f>
        <v>0</v>
      </c>
      <c r="AC13" s="25">
        <f>IFERROR(AVERAGE(AG13:BC13),"")</f>
        <v>0</v>
      </c>
      <c r="AD13" s="25">
        <f>IFERROR(STDEV(AG13:BC13),"")</f>
        <v>0</v>
      </c>
      <c r="AE13" s="26">
        <f>IFERROR(IF(AD13=0,"",(J13-AC13)/AD13),"")</f>
        <v>0</v>
      </c>
      <c r="AG13" s="27">
        <f>IFERROR(BDH(C13,"PX_LAST",AG$5,AG$5),"")</f>
        <v>0</v>
      </c>
      <c r="AH13" s="27">
        <f>IFERROR(BDH(C13,"PX_LAST",AH$5,AH$5),"")</f>
        <v>0</v>
      </c>
      <c r="AI13" s="27">
        <f>IFERROR(BDH(C13,"PX_LAST",AI$5,AI$5),"")</f>
        <v>0</v>
      </c>
      <c r="AJ13" s="27">
        <f>IFERROR(BDH(C13,"PX_LAST",AJ$5,AJ$5),"")</f>
        <v>0</v>
      </c>
      <c r="AK13" s="27">
        <f>IFERROR(BDH(C13,"PX_LAST",AK$5,AK$5),"")</f>
        <v>0</v>
      </c>
      <c r="AL13" s="27">
        <f>IFERROR(BDH(C13,"PX_LAST",AL$5,AL$5),"")</f>
        <v>0</v>
      </c>
      <c r="AM13" s="27">
        <f>IFERROR(BDH(C13,"PX_LAST",AM$5,AM$5),"")</f>
        <v>0</v>
      </c>
      <c r="AN13" s="27">
        <f>IFERROR(BDH(C13,"PX_LAST",AN$5,AN$5),"")</f>
        <v>0</v>
      </c>
      <c r="AO13" s="27">
        <f>IFERROR(BDH(C13,"PX_LAST",AO$5,AO$5),"")</f>
        <v>0</v>
      </c>
      <c r="AP13" s="27">
        <f>IFERROR(BDH(C13,"PX_LAST",AP$5,AP$5),"")</f>
        <v>0</v>
      </c>
      <c r="AQ13" s="27">
        <f>IFERROR(BDH(C13,"PX_LAST",AQ$5,AQ$5),"")</f>
        <v>0</v>
      </c>
      <c r="AR13" s="27">
        <f>IFERROR(BDH(C13,"PX_LAST",AR$5,AR$5),"")</f>
        <v>0</v>
      </c>
      <c r="AS13" s="27">
        <f>IFERROR(BDH(C13,"PX_LAST",AS$5,AS$5),"")</f>
        <v>0</v>
      </c>
      <c r="AT13" s="27">
        <f>IFERROR(BDH(C13,"PX_LAST",AT$5,AT$5),"")</f>
        <v>0</v>
      </c>
      <c r="AU13" s="27">
        <f>IFERROR(BDH(C13,"PX_LAST",AU$5,AU$5),"")</f>
        <v>0</v>
      </c>
      <c r="AV13" s="27">
        <f>IFERROR(BDH(C13,"PX_LAST",AV$5,AV$5),"")</f>
        <v>0</v>
      </c>
      <c r="AW13" s="27">
        <f>IFERROR(BDH(C13,"PX_LAST",AW$5,AW$5),"")</f>
        <v>0</v>
      </c>
      <c r="AX13" s="27">
        <f>IFERROR(BDH(C13,"PX_LAST",AX$5,AX$5),"")</f>
        <v>0</v>
      </c>
      <c r="AY13" s="27">
        <f>IFERROR(BDH(C13,"PX_LAST",AY$5,AY$5),"")</f>
        <v>0</v>
      </c>
      <c r="AZ13" s="27">
        <f>IFERROR(BDH(C13,"PX_LAST",AZ$5,AZ$5),"")</f>
        <v>0</v>
      </c>
      <c r="BA13" s="27">
        <f>IFERROR(BDH(C13,"PX_LAST",BA$5,BA$5),"")</f>
        <v>0</v>
      </c>
      <c r="BB13" s="27">
        <f>IFERROR(BDH(C13,"PX_LAST",BB$5,BB$5),"")</f>
        <v>0</v>
      </c>
      <c r="BC13" s="27">
        <f>IFERROR(BDH(C13,"PX_LAST",BC$5,BC$5),"")</f>
        <v>0</v>
      </c>
    </row>
    <row r="14" spans="1:55" ht="20" customHeight="1">
      <c r="A14">
        <f>IFERROR(LARGE(ER!$G:$G,9),0)</f>
        <v>0</v>
      </c>
      <c r="B14">
        <f>IFERROR(MATCH(A14,ER!$G:$G,0),0)</f>
        <v>0</v>
      </c>
      <c r="C14" s="40">
        <f>IFERROR(INDEX(ER!$D:$D,B14),"")</f>
        <v>0</v>
      </c>
      <c r="D14" s="41">
        <f>IFERROR(INDEX(ER!$C:$C,B14),"")</f>
        <v>0</v>
      </c>
      <c r="E14" s="42">
        <f>IFERROR(BDP(C14,"BID_SIZE"),"")</f>
        <v>0</v>
      </c>
      <c r="F14" s="43">
        <f>IFERROR(BDP(C14,"PX_BID"),"")</f>
        <v>0</v>
      </c>
      <c r="G14" s="43">
        <f>IFERROR(BDP(C14,"PX_ASK"),"")</f>
        <v>0</v>
      </c>
      <c r="H14" s="42">
        <f>IFERROR(BDP(C14,"ASK_SIZE"),"")</f>
        <v>0</v>
      </c>
      <c r="I14" s="42">
        <f>IFERROR(BDP(C14,"VOLUME"),"")</f>
        <v>0</v>
      </c>
      <c r="J14" s="43">
        <f>IFERROR(BDP(C14,"PX_LAST"),"")</f>
        <v>0</v>
      </c>
      <c r="K14" s="41">
        <f>IFERROR(BDP(C14,"LAST_UPDATE_DT_EXCH_TZ"),"")</f>
        <v>0</v>
      </c>
      <c r="L14" s="44">
        <f>IFERROR(INDEX(ER!$B:$B,B14),"")</f>
        <v>0</v>
      </c>
      <c r="AC14" s="25">
        <f>IFERROR(AVERAGE(AG14:BC14),"")</f>
        <v>0</v>
      </c>
      <c r="AD14" s="25">
        <f>IFERROR(STDEV(AG14:BC14),"")</f>
        <v>0</v>
      </c>
      <c r="AE14" s="26">
        <f>IFERROR(IF(AD14=0,"",(J14-AC14)/AD14),"")</f>
        <v>0</v>
      </c>
      <c r="AG14" s="27">
        <f>IFERROR(BDH(C14,"PX_LAST",AG$5,AG$5),"")</f>
        <v>0</v>
      </c>
      <c r="AH14" s="27">
        <f>IFERROR(BDH(C14,"PX_LAST",AH$5,AH$5),"")</f>
        <v>0</v>
      </c>
      <c r="AI14" s="27">
        <f>IFERROR(BDH(C14,"PX_LAST",AI$5,AI$5),"")</f>
        <v>0</v>
      </c>
      <c r="AJ14" s="27">
        <f>IFERROR(BDH(C14,"PX_LAST",AJ$5,AJ$5),"")</f>
        <v>0</v>
      </c>
      <c r="AK14" s="27">
        <f>IFERROR(BDH(C14,"PX_LAST",AK$5,AK$5),"")</f>
        <v>0</v>
      </c>
      <c r="AL14" s="27">
        <f>IFERROR(BDH(C14,"PX_LAST",AL$5,AL$5),"")</f>
        <v>0</v>
      </c>
      <c r="AM14" s="27">
        <f>IFERROR(BDH(C14,"PX_LAST",AM$5,AM$5),"")</f>
        <v>0</v>
      </c>
      <c r="AN14" s="27">
        <f>IFERROR(BDH(C14,"PX_LAST",AN$5,AN$5),"")</f>
        <v>0</v>
      </c>
      <c r="AO14" s="27">
        <f>IFERROR(BDH(C14,"PX_LAST",AO$5,AO$5),"")</f>
        <v>0</v>
      </c>
      <c r="AP14" s="27">
        <f>IFERROR(BDH(C14,"PX_LAST",AP$5,AP$5),"")</f>
        <v>0</v>
      </c>
      <c r="AQ14" s="27">
        <f>IFERROR(BDH(C14,"PX_LAST",AQ$5,AQ$5),"")</f>
        <v>0</v>
      </c>
      <c r="AR14" s="27">
        <f>IFERROR(BDH(C14,"PX_LAST",AR$5,AR$5),"")</f>
        <v>0</v>
      </c>
      <c r="AS14" s="27">
        <f>IFERROR(BDH(C14,"PX_LAST",AS$5,AS$5),"")</f>
        <v>0</v>
      </c>
      <c r="AT14" s="27">
        <f>IFERROR(BDH(C14,"PX_LAST",AT$5,AT$5),"")</f>
        <v>0</v>
      </c>
      <c r="AU14" s="27">
        <f>IFERROR(BDH(C14,"PX_LAST",AU$5,AU$5),"")</f>
        <v>0</v>
      </c>
      <c r="AV14" s="27">
        <f>IFERROR(BDH(C14,"PX_LAST",AV$5,AV$5),"")</f>
        <v>0</v>
      </c>
      <c r="AW14" s="27">
        <f>IFERROR(BDH(C14,"PX_LAST",AW$5,AW$5),"")</f>
        <v>0</v>
      </c>
      <c r="AX14" s="27">
        <f>IFERROR(BDH(C14,"PX_LAST",AX$5,AX$5),"")</f>
        <v>0</v>
      </c>
      <c r="AY14" s="27">
        <f>IFERROR(BDH(C14,"PX_LAST",AY$5,AY$5),"")</f>
        <v>0</v>
      </c>
      <c r="AZ14" s="27">
        <f>IFERROR(BDH(C14,"PX_LAST",AZ$5,AZ$5),"")</f>
        <v>0</v>
      </c>
      <c r="BA14" s="27">
        <f>IFERROR(BDH(C14,"PX_LAST",BA$5,BA$5),"")</f>
        <v>0</v>
      </c>
      <c r="BB14" s="27">
        <f>IFERROR(BDH(C14,"PX_LAST",BB$5,BB$5),"")</f>
        <v>0</v>
      </c>
      <c r="BC14" s="27">
        <f>IFERROR(BDH(C14,"PX_LAST",BC$5,BC$5),"")</f>
        <v>0</v>
      </c>
    </row>
    <row r="15" spans="1:55" ht="20" customHeight="1">
      <c r="A15">
        <f>IFERROR(LARGE(ER!$G:$G,10),0)</f>
        <v>0</v>
      </c>
      <c r="B15">
        <f>IFERROR(MATCH(A15,ER!$G:$G,0),0)</f>
        <v>0</v>
      </c>
      <c r="C15" s="40">
        <f>IFERROR(INDEX(ER!$D:$D,B15),"")</f>
        <v>0</v>
      </c>
      <c r="D15" s="41">
        <f>IFERROR(INDEX(ER!$C:$C,B15),"")</f>
        <v>0</v>
      </c>
      <c r="E15" s="42">
        <f>IFERROR(BDP(C15,"BID_SIZE"),"")</f>
        <v>0</v>
      </c>
      <c r="F15" s="43">
        <f>IFERROR(BDP(C15,"PX_BID"),"")</f>
        <v>0</v>
      </c>
      <c r="G15" s="43">
        <f>IFERROR(BDP(C15,"PX_ASK"),"")</f>
        <v>0</v>
      </c>
      <c r="H15" s="42">
        <f>IFERROR(BDP(C15,"ASK_SIZE"),"")</f>
        <v>0</v>
      </c>
      <c r="I15" s="42">
        <f>IFERROR(BDP(C15,"VOLUME"),"")</f>
        <v>0</v>
      </c>
      <c r="J15" s="43">
        <f>IFERROR(BDP(C15,"PX_LAST"),"")</f>
        <v>0</v>
      </c>
      <c r="K15" s="41">
        <f>IFERROR(BDP(C15,"LAST_UPDATE_DT_EXCH_TZ"),"")</f>
        <v>0</v>
      </c>
      <c r="L15" s="44">
        <f>IFERROR(INDEX(ER!$B:$B,B15),"")</f>
        <v>0</v>
      </c>
      <c r="AC15" s="25">
        <f>IFERROR(AVERAGE(AG15:BC15),"")</f>
        <v>0</v>
      </c>
      <c r="AD15" s="25">
        <f>IFERROR(STDEV(AG15:BC15),"")</f>
        <v>0</v>
      </c>
      <c r="AE15" s="26">
        <f>IFERROR(IF(AD15=0,"",(J15-AC15)/AD15),"")</f>
        <v>0</v>
      </c>
      <c r="AG15" s="27">
        <f>IFERROR(BDH(C15,"PX_LAST",AG$5,AG$5),"")</f>
        <v>0</v>
      </c>
      <c r="AH15" s="27">
        <f>IFERROR(BDH(C15,"PX_LAST",AH$5,AH$5),"")</f>
        <v>0</v>
      </c>
      <c r="AI15" s="27">
        <f>IFERROR(BDH(C15,"PX_LAST",AI$5,AI$5),"")</f>
        <v>0</v>
      </c>
      <c r="AJ15" s="27">
        <f>IFERROR(BDH(C15,"PX_LAST",AJ$5,AJ$5),"")</f>
        <v>0</v>
      </c>
      <c r="AK15" s="27">
        <f>IFERROR(BDH(C15,"PX_LAST",AK$5,AK$5),"")</f>
        <v>0</v>
      </c>
      <c r="AL15" s="27">
        <f>IFERROR(BDH(C15,"PX_LAST",AL$5,AL$5),"")</f>
        <v>0</v>
      </c>
      <c r="AM15" s="27">
        <f>IFERROR(BDH(C15,"PX_LAST",AM$5,AM$5),"")</f>
        <v>0</v>
      </c>
      <c r="AN15" s="27">
        <f>IFERROR(BDH(C15,"PX_LAST",AN$5,AN$5),"")</f>
        <v>0</v>
      </c>
      <c r="AO15" s="27">
        <f>IFERROR(BDH(C15,"PX_LAST",AO$5,AO$5),"")</f>
        <v>0</v>
      </c>
      <c r="AP15" s="27">
        <f>IFERROR(BDH(C15,"PX_LAST",AP$5,AP$5),"")</f>
        <v>0</v>
      </c>
      <c r="AQ15" s="27">
        <f>IFERROR(BDH(C15,"PX_LAST",AQ$5,AQ$5),"")</f>
        <v>0</v>
      </c>
      <c r="AR15" s="27">
        <f>IFERROR(BDH(C15,"PX_LAST",AR$5,AR$5),"")</f>
        <v>0</v>
      </c>
      <c r="AS15" s="27">
        <f>IFERROR(BDH(C15,"PX_LAST",AS$5,AS$5),"")</f>
        <v>0</v>
      </c>
      <c r="AT15" s="27">
        <f>IFERROR(BDH(C15,"PX_LAST",AT$5,AT$5),"")</f>
        <v>0</v>
      </c>
      <c r="AU15" s="27">
        <f>IFERROR(BDH(C15,"PX_LAST",AU$5,AU$5),"")</f>
        <v>0</v>
      </c>
      <c r="AV15" s="27">
        <f>IFERROR(BDH(C15,"PX_LAST",AV$5,AV$5),"")</f>
        <v>0</v>
      </c>
      <c r="AW15" s="27">
        <f>IFERROR(BDH(C15,"PX_LAST",AW$5,AW$5),"")</f>
        <v>0</v>
      </c>
      <c r="AX15" s="27">
        <f>IFERROR(BDH(C15,"PX_LAST",AX$5,AX$5),"")</f>
        <v>0</v>
      </c>
      <c r="AY15" s="27">
        <f>IFERROR(BDH(C15,"PX_LAST",AY$5,AY$5),"")</f>
        <v>0</v>
      </c>
      <c r="AZ15" s="27">
        <f>IFERROR(BDH(C15,"PX_LAST",AZ$5,AZ$5),"")</f>
        <v>0</v>
      </c>
      <c r="BA15" s="27">
        <f>IFERROR(BDH(C15,"PX_LAST",BA$5,BA$5),"")</f>
        <v>0</v>
      </c>
      <c r="BB15" s="27">
        <f>IFERROR(BDH(C15,"PX_LAST",BB$5,BB$5),"")</f>
        <v>0</v>
      </c>
      <c r="BC15" s="27">
        <f>IFERROR(BDH(C15,"PX_LAST",BC$5,BC$5),"")</f>
        <v>0</v>
      </c>
    </row>
    <row r="16" spans="1:55" ht="20" customHeight="1">
      <c r="A16">
        <f>IFERROR(LARGE(ER!$G:$G,11),0)</f>
        <v>0</v>
      </c>
      <c r="B16">
        <f>IFERROR(MATCH(A16,ER!$G:$G,0),0)</f>
        <v>0</v>
      </c>
      <c r="C16" s="40">
        <f>IFERROR(INDEX(ER!$D:$D,B16),"")</f>
        <v>0</v>
      </c>
      <c r="D16" s="41">
        <f>IFERROR(INDEX(ER!$C:$C,B16),"")</f>
        <v>0</v>
      </c>
      <c r="E16" s="42">
        <f>IFERROR(BDP(C16,"BID_SIZE"),"")</f>
        <v>0</v>
      </c>
      <c r="F16" s="43">
        <f>IFERROR(BDP(C16,"PX_BID"),"")</f>
        <v>0</v>
      </c>
      <c r="G16" s="43">
        <f>IFERROR(BDP(C16,"PX_ASK"),"")</f>
        <v>0</v>
      </c>
      <c r="H16" s="42">
        <f>IFERROR(BDP(C16,"ASK_SIZE"),"")</f>
        <v>0</v>
      </c>
      <c r="I16" s="42">
        <f>IFERROR(BDP(C16,"VOLUME"),"")</f>
        <v>0</v>
      </c>
      <c r="J16" s="43">
        <f>IFERROR(BDP(C16,"PX_LAST"),"")</f>
        <v>0</v>
      </c>
      <c r="K16" s="41">
        <f>IFERROR(BDP(C16,"LAST_UPDATE_DT_EXCH_TZ"),"")</f>
        <v>0</v>
      </c>
      <c r="L16" s="44">
        <f>IFERROR(INDEX(ER!$B:$B,B16),"")</f>
        <v>0</v>
      </c>
      <c r="AC16" s="25">
        <f>IFERROR(AVERAGE(AG16:BC16),"")</f>
        <v>0</v>
      </c>
      <c r="AD16" s="25">
        <f>IFERROR(STDEV(AG16:BC16),"")</f>
        <v>0</v>
      </c>
      <c r="AE16" s="26">
        <f>IFERROR(IF(AD16=0,"",(J16-AC16)/AD16),"")</f>
        <v>0</v>
      </c>
      <c r="AG16" s="27">
        <f>IFERROR(BDH(C16,"PX_LAST",AG$5,AG$5),"")</f>
        <v>0</v>
      </c>
      <c r="AH16" s="27">
        <f>IFERROR(BDH(C16,"PX_LAST",AH$5,AH$5),"")</f>
        <v>0</v>
      </c>
      <c r="AI16" s="27">
        <f>IFERROR(BDH(C16,"PX_LAST",AI$5,AI$5),"")</f>
        <v>0</v>
      </c>
      <c r="AJ16" s="27">
        <f>IFERROR(BDH(C16,"PX_LAST",AJ$5,AJ$5),"")</f>
        <v>0</v>
      </c>
      <c r="AK16" s="27">
        <f>IFERROR(BDH(C16,"PX_LAST",AK$5,AK$5),"")</f>
        <v>0</v>
      </c>
      <c r="AL16" s="27">
        <f>IFERROR(BDH(C16,"PX_LAST",AL$5,AL$5),"")</f>
        <v>0</v>
      </c>
      <c r="AM16" s="27">
        <f>IFERROR(BDH(C16,"PX_LAST",AM$5,AM$5),"")</f>
        <v>0</v>
      </c>
      <c r="AN16" s="27">
        <f>IFERROR(BDH(C16,"PX_LAST",AN$5,AN$5),"")</f>
        <v>0</v>
      </c>
      <c r="AO16" s="27">
        <f>IFERROR(BDH(C16,"PX_LAST",AO$5,AO$5),"")</f>
        <v>0</v>
      </c>
      <c r="AP16" s="27">
        <f>IFERROR(BDH(C16,"PX_LAST",AP$5,AP$5),"")</f>
        <v>0</v>
      </c>
      <c r="AQ16" s="27">
        <f>IFERROR(BDH(C16,"PX_LAST",AQ$5,AQ$5),"")</f>
        <v>0</v>
      </c>
      <c r="AR16" s="27">
        <f>IFERROR(BDH(C16,"PX_LAST",AR$5,AR$5),"")</f>
        <v>0</v>
      </c>
      <c r="AS16" s="27">
        <f>IFERROR(BDH(C16,"PX_LAST",AS$5,AS$5),"")</f>
        <v>0</v>
      </c>
      <c r="AT16" s="27">
        <f>IFERROR(BDH(C16,"PX_LAST",AT$5,AT$5),"")</f>
        <v>0</v>
      </c>
      <c r="AU16" s="27">
        <f>IFERROR(BDH(C16,"PX_LAST",AU$5,AU$5),"")</f>
        <v>0</v>
      </c>
      <c r="AV16" s="27">
        <f>IFERROR(BDH(C16,"PX_LAST",AV$5,AV$5),"")</f>
        <v>0</v>
      </c>
      <c r="AW16" s="27">
        <f>IFERROR(BDH(C16,"PX_LAST",AW$5,AW$5),"")</f>
        <v>0</v>
      </c>
      <c r="AX16" s="27">
        <f>IFERROR(BDH(C16,"PX_LAST",AX$5,AX$5),"")</f>
        <v>0</v>
      </c>
      <c r="AY16" s="27">
        <f>IFERROR(BDH(C16,"PX_LAST",AY$5,AY$5),"")</f>
        <v>0</v>
      </c>
      <c r="AZ16" s="27">
        <f>IFERROR(BDH(C16,"PX_LAST",AZ$5,AZ$5),"")</f>
        <v>0</v>
      </c>
      <c r="BA16" s="27">
        <f>IFERROR(BDH(C16,"PX_LAST",BA$5,BA$5),"")</f>
        <v>0</v>
      </c>
      <c r="BB16" s="27">
        <f>IFERROR(BDH(C16,"PX_LAST",BB$5,BB$5),"")</f>
        <v>0</v>
      </c>
      <c r="BC16" s="27">
        <f>IFERROR(BDH(C16,"PX_LAST",BC$5,BC$5),"")</f>
        <v>0</v>
      </c>
    </row>
    <row r="17" spans="1:55" ht="20" customHeight="1">
      <c r="A17">
        <f>IFERROR(LARGE(ER!$G:$G,12),0)</f>
        <v>0</v>
      </c>
      <c r="B17">
        <f>IFERROR(MATCH(A17,ER!$G:$G,0),0)</f>
        <v>0</v>
      </c>
      <c r="C17" s="40">
        <f>IFERROR(INDEX(ER!$D:$D,B17),"")</f>
        <v>0</v>
      </c>
      <c r="D17" s="41">
        <f>IFERROR(INDEX(ER!$C:$C,B17),"")</f>
        <v>0</v>
      </c>
      <c r="E17" s="42">
        <f>IFERROR(BDP(C17,"BID_SIZE"),"")</f>
        <v>0</v>
      </c>
      <c r="F17" s="43">
        <f>IFERROR(BDP(C17,"PX_BID"),"")</f>
        <v>0</v>
      </c>
      <c r="G17" s="43">
        <f>IFERROR(BDP(C17,"PX_ASK"),"")</f>
        <v>0</v>
      </c>
      <c r="H17" s="42">
        <f>IFERROR(BDP(C17,"ASK_SIZE"),"")</f>
        <v>0</v>
      </c>
      <c r="I17" s="42">
        <f>IFERROR(BDP(C17,"VOLUME"),"")</f>
        <v>0</v>
      </c>
      <c r="J17" s="43">
        <f>IFERROR(BDP(C17,"PX_LAST"),"")</f>
        <v>0</v>
      </c>
      <c r="K17" s="41">
        <f>IFERROR(BDP(C17,"LAST_UPDATE_DT_EXCH_TZ"),"")</f>
        <v>0</v>
      </c>
      <c r="L17" s="44">
        <f>IFERROR(INDEX(ER!$B:$B,B17),"")</f>
        <v>0</v>
      </c>
      <c r="AC17" s="25">
        <f>IFERROR(AVERAGE(AG17:BC17),"")</f>
        <v>0</v>
      </c>
      <c r="AD17" s="25">
        <f>IFERROR(STDEV(AG17:BC17),"")</f>
        <v>0</v>
      </c>
      <c r="AE17" s="26">
        <f>IFERROR(IF(AD17=0,"",(J17-AC17)/AD17),"")</f>
        <v>0</v>
      </c>
      <c r="AG17" s="27">
        <f>IFERROR(BDH(C17,"PX_LAST",AG$5,AG$5),"")</f>
        <v>0</v>
      </c>
      <c r="AH17" s="27">
        <f>IFERROR(BDH(C17,"PX_LAST",AH$5,AH$5),"")</f>
        <v>0</v>
      </c>
      <c r="AI17" s="27">
        <f>IFERROR(BDH(C17,"PX_LAST",AI$5,AI$5),"")</f>
        <v>0</v>
      </c>
      <c r="AJ17" s="27">
        <f>IFERROR(BDH(C17,"PX_LAST",AJ$5,AJ$5),"")</f>
        <v>0</v>
      </c>
      <c r="AK17" s="27">
        <f>IFERROR(BDH(C17,"PX_LAST",AK$5,AK$5),"")</f>
        <v>0</v>
      </c>
      <c r="AL17" s="27">
        <f>IFERROR(BDH(C17,"PX_LAST",AL$5,AL$5),"")</f>
        <v>0</v>
      </c>
      <c r="AM17" s="27">
        <f>IFERROR(BDH(C17,"PX_LAST",AM$5,AM$5),"")</f>
        <v>0</v>
      </c>
      <c r="AN17" s="27">
        <f>IFERROR(BDH(C17,"PX_LAST",AN$5,AN$5),"")</f>
        <v>0</v>
      </c>
      <c r="AO17" s="27">
        <f>IFERROR(BDH(C17,"PX_LAST",AO$5,AO$5),"")</f>
        <v>0</v>
      </c>
      <c r="AP17" s="27">
        <f>IFERROR(BDH(C17,"PX_LAST",AP$5,AP$5),"")</f>
        <v>0</v>
      </c>
      <c r="AQ17" s="27">
        <f>IFERROR(BDH(C17,"PX_LAST",AQ$5,AQ$5),"")</f>
        <v>0</v>
      </c>
      <c r="AR17" s="27">
        <f>IFERROR(BDH(C17,"PX_LAST",AR$5,AR$5),"")</f>
        <v>0</v>
      </c>
      <c r="AS17" s="27">
        <f>IFERROR(BDH(C17,"PX_LAST",AS$5,AS$5),"")</f>
        <v>0</v>
      </c>
      <c r="AT17" s="27">
        <f>IFERROR(BDH(C17,"PX_LAST",AT$5,AT$5),"")</f>
        <v>0</v>
      </c>
      <c r="AU17" s="27">
        <f>IFERROR(BDH(C17,"PX_LAST",AU$5,AU$5),"")</f>
        <v>0</v>
      </c>
      <c r="AV17" s="27">
        <f>IFERROR(BDH(C17,"PX_LAST",AV$5,AV$5),"")</f>
        <v>0</v>
      </c>
      <c r="AW17" s="27">
        <f>IFERROR(BDH(C17,"PX_LAST",AW$5,AW$5),"")</f>
        <v>0</v>
      </c>
      <c r="AX17" s="27">
        <f>IFERROR(BDH(C17,"PX_LAST",AX$5,AX$5),"")</f>
        <v>0</v>
      </c>
      <c r="AY17" s="27">
        <f>IFERROR(BDH(C17,"PX_LAST",AY$5,AY$5),"")</f>
        <v>0</v>
      </c>
      <c r="AZ17" s="27">
        <f>IFERROR(BDH(C17,"PX_LAST",AZ$5,AZ$5),"")</f>
        <v>0</v>
      </c>
      <c r="BA17" s="27">
        <f>IFERROR(BDH(C17,"PX_LAST",BA$5,BA$5),"")</f>
        <v>0</v>
      </c>
      <c r="BB17" s="27">
        <f>IFERROR(BDH(C17,"PX_LAST",BB$5,BB$5),"")</f>
        <v>0</v>
      </c>
      <c r="BC17" s="27">
        <f>IFERROR(BDH(C17,"PX_LAST",BC$5,BC$5),"")</f>
        <v>0</v>
      </c>
    </row>
    <row r="18" spans="1:55" ht="20" customHeight="1">
      <c r="A18">
        <f>IFERROR(LARGE(ER!$G:$G,13),0)</f>
        <v>0</v>
      </c>
      <c r="B18">
        <f>IFERROR(MATCH(A18,ER!$G:$G,0),0)</f>
        <v>0</v>
      </c>
      <c r="C18" s="40">
        <f>IFERROR(INDEX(ER!$D:$D,B18),"")</f>
        <v>0</v>
      </c>
      <c r="D18" s="41">
        <f>IFERROR(INDEX(ER!$C:$C,B18),"")</f>
        <v>0</v>
      </c>
      <c r="E18" s="42">
        <f>IFERROR(BDP(C18,"BID_SIZE"),"")</f>
        <v>0</v>
      </c>
      <c r="F18" s="43">
        <f>IFERROR(BDP(C18,"PX_BID"),"")</f>
        <v>0</v>
      </c>
      <c r="G18" s="43">
        <f>IFERROR(BDP(C18,"PX_ASK"),"")</f>
        <v>0</v>
      </c>
      <c r="H18" s="42">
        <f>IFERROR(BDP(C18,"ASK_SIZE"),"")</f>
        <v>0</v>
      </c>
      <c r="I18" s="42">
        <f>IFERROR(BDP(C18,"VOLUME"),"")</f>
        <v>0</v>
      </c>
      <c r="J18" s="43">
        <f>IFERROR(BDP(C18,"PX_LAST"),"")</f>
        <v>0</v>
      </c>
      <c r="K18" s="41">
        <f>IFERROR(BDP(C18,"LAST_UPDATE_DT_EXCH_TZ"),"")</f>
        <v>0</v>
      </c>
      <c r="L18" s="44">
        <f>IFERROR(INDEX(ER!$B:$B,B18),"")</f>
        <v>0</v>
      </c>
      <c r="AC18" s="25">
        <f>IFERROR(AVERAGE(AG18:BC18),"")</f>
        <v>0</v>
      </c>
      <c r="AD18" s="25">
        <f>IFERROR(STDEV(AG18:BC18),"")</f>
        <v>0</v>
      </c>
      <c r="AE18" s="26">
        <f>IFERROR(IF(AD18=0,"",(J18-AC18)/AD18),"")</f>
        <v>0</v>
      </c>
      <c r="AG18" s="27">
        <f>IFERROR(BDH(C18,"PX_LAST",AG$5,AG$5),"")</f>
        <v>0</v>
      </c>
      <c r="AH18" s="27">
        <f>IFERROR(BDH(C18,"PX_LAST",AH$5,AH$5),"")</f>
        <v>0</v>
      </c>
      <c r="AI18" s="27">
        <f>IFERROR(BDH(C18,"PX_LAST",AI$5,AI$5),"")</f>
        <v>0</v>
      </c>
      <c r="AJ18" s="27">
        <f>IFERROR(BDH(C18,"PX_LAST",AJ$5,AJ$5),"")</f>
        <v>0</v>
      </c>
      <c r="AK18" s="27">
        <f>IFERROR(BDH(C18,"PX_LAST",AK$5,AK$5),"")</f>
        <v>0</v>
      </c>
      <c r="AL18" s="27">
        <f>IFERROR(BDH(C18,"PX_LAST",AL$5,AL$5),"")</f>
        <v>0</v>
      </c>
      <c r="AM18" s="27">
        <f>IFERROR(BDH(C18,"PX_LAST",AM$5,AM$5),"")</f>
        <v>0</v>
      </c>
      <c r="AN18" s="27">
        <f>IFERROR(BDH(C18,"PX_LAST",AN$5,AN$5),"")</f>
        <v>0</v>
      </c>
      <c r="AO18" s="27">
        <f>IFERROR(BDH(C18,"PX_LAST",AO$5,AO$5),"")</f>
        <v>0</v>
      </c>
      <c r="AP18" s="27">
        <f>IFERROR(BDH(C18,"PX_LAST",AP$5,AP$5),"")</f>
        <v>0</v>
      </c>
      <c r="AQ18" s="27">
        <f>IFERROR(BDH(C18,"PX_LAST",AQ$5,AQ$5),"")</f>
        <v>0</v>
      </c>
      <c r="AR18" s="27">
        <f>IFERROR(BDH(C18,"PX_LAST",AR$5,AR$5),"")</f>
        <v>0</v>
      </c>
      <c r="AS18" s="27">
        <f>IFERROR(BDH(C18,"PX_LAST",AS$5,AS$5),"")</f>
        <v>0</v>
      </c>
      <c r="AT18" s="27">
        <f>IFERROR(BDH(C18,"PX_LAST",AT$5,AT$5),"")</f>
        <v>0</v>
      </c>
      <c r="AU18" s="27">
        <f>IFERROR(BDH(C18,"PX_LAST",AU$5,AU$5),"")</f>
        <v>0</v>
      </c>
      <c r="AV18" s="27">
        <f>IFERROR(BDH(C18,"PX_LAST",AV$5,AV$5),"")</f>
        <v>0</v>
      </c>
      <c r="AW18" s="27">
        <f>IFERROR(BDH(C18,"PX_LAST",AW$5,AW$5),"")</f>
        <v>0</v>
      </c>
      <c r="AX18" s="27">
        <f>IFERROR(BDH(C18,"PX_LAST",AX$5,AX$5),"")</f>
        <v>0</v>
      </c>
      <c r="AY18" s="27">
        <f>IFERROR(BDH(C18,"PX_LAST",AY$5,AY$5),"")</f>
        <v>0</v>
      </c>
      <c r="AZ18" s="27">
        <f>IFERROR(BDH(C18,"PX_LAST",AZ$5,AZ$5),"")</f>
        <v>0</v>
      </c>
      <c r="BA18" s="27">
        <f>IFERROR(BDH(C18,"PX_LAST",BA$5,BA$5),"")</f>
        <v>0</v>
      </c>
      <c r="BB18" s="27">
        <f>IFERROR(BDH(C18,"PX_LAST",BB$5,BB$5),"")</f>
        <v>0</v>
      </c>
      <c r="BC18" s="27">
        <f>IFERROR(BDH(C18,"PX_LAST",BC$5,BC$5),"")</f>
        <v>0</v>
      </c>
    </row>
    <row r="19" spans="1:55" ht="20" customHeight="1">
      <c r="A19">
        <f>IFERROR(LARGE(ER!$G:$G,14),0)</f>
        <v>0</v>
      </c>
      <c r="B19">
        <f>IFERROR(MATCH(A19,ER!$G:$G,0),0)</f>
        <v>0</v>
      </c>
      <c r="C19" s="40">
        <f>IFERROR(INDEX(ER!$D:$D,B19),"")</f>
        <v>0</v>
      </c>
      <c r="D19" s="41">
        <f>IFERROR(INDEX(ER!$C:$C,B19),"")</f>
        <v>0</v>
      </c>
      <c r="E19" s="42">
        <f>IFERROR(BDP(C19,"BID_SIZE"),"")</f>
        <v>0</v>
      </c>
      <c r="F19" s="43">
        <f>IFERROR(BDP(C19,"PX_BID"),"")</f>
        <v>0</v>
      </c>
      <c r="G19" s="43">
        <f>IFERROR(BDP(C19,"PX_ASK"),"")</f>
        <v>0</v>
      </c>
      <c r="H19" s="42">
        <f>IFERROR(BDP(C19,"ASK_SIZE"),"")</f>
        <v>0</v>
      </c>
      <c r="I19" s="42">
        <f>IFERROR(BDP(C19,"VOLUME"),"")</f>
        <v>0</v>
      </c>
      <c r="J19" s="43">
        <f>IFERROR(BDP(C19,"PX_LAST"),"")</f>
        <v>0</v>
      </c>
      <c r="K19" s="41">
        <f>IFERROR(BDP(C19,"LAST_UPDATE_DT_EXCH_TZ"),"")</f>
        <v>0</v>
      </c>
      <c r="L19" s="44">
        <f>IFERROR(INDEX(ER!$B:$B,B19),"")</f>
        <v>0</v>
      </c>
      <c r="AC19" s="25">
        <f>IFERROR(AVERAGE(AG19:BC19),"")</f>
        <v>0</v>
      </c>
      <c r="AD19" s="25">
        <f>IFERROR(STDEV(AG19:BC19),"")</f>
        <v>0</v>
      </c>
      <c r="AE19" s="26">
        <f>IFERROR(IF(AD19=0,"",(J19-AC19)/AD19),"")</f>
        <v>0</v>
      </c>
      <c r="AG19" s="27">
        <f>IFERROR(BDH(C19,"PX_LAST",AG$5,AG$5),"")</f>
        <v>0</v>
      </c>
      <c r="AH19" s="27">
        <f>IFERROR(BDH(C19,"PX_LAST",AH$5,AH$5),"")</f>
        <v>0</v>
      </c>
      <c r="AI19" s="27">
        <f>IFERROR(BDH(C19,"PX_LAST",AI$5,AI$5),"")</f>
        <v>0</v>
      </c>
      <c r="AJ19" s="27">
        <f>IFERROR(BDH(C19,"PX_LAST",AJ$5,AJ$5),"")</f>
        <v>0</v>
      </c>
      <c r="AK19" s="27">
        <f>IFERROR(BDH(C19,"PX_LAST",AK$5,AK$5),"")</f>
        <v>0</v>
      </c>
      <c r="AL19" s="27">
        <f>IFERROR(BDH(C19,"PX_LAST",AL$5,AL$5),"")</f>
        <v>0</v>
      </c>
      <c r="AM19" s="27">
        <f>IFERROR(BDH(C19,"PX_LAST",AM$5,AM$5),"")</f>
        <v>0</v>
      </c>
      <c r="AN19" s="27">
        <f>IFERROR(BDH(C19,"PX_LAST",AN$5,AN$5),"")</f>
        <v>0</v>
      </c>
      <c r="AO19" s="27">
        <f>IFERROR(BDH(C19,"PX_LAST",AO$5,AO$5),"")</f>
        <v>0</v>
      </c>
      <c r="AP19" s="27">
        <f>IFERROR(BDH(C19,"PX_LAST",AP$5,AP$5),"")</f>
        <v>0</v>
      </c>
      <c r="AQ19" s="27">
        <f>IFERROR(BDH(C19,"PX_LAST",AQ$5,AQ$5),"")</f>
        <v>0</v>
      </c>
      <c r="AR19" s="27">
        <f>IFERROR(BDH(C19,"PX_LAST",AR$5,AR$5),"")</f>
        <v>0</v>
      </c>
      <c r="AS19" s="27">
        <f>IFERROR(BDH(C19,"PX_LAST",AS$5,AS$5),"")</f>
        <v>0</v>
      </c>
      <c r="AT19" s="27">
        <f>IFERROR(BDH(C19,"PX_LAST",AT$5,AT$5),"")</f>
        <v>0</v>
      </c>
      <c r="AU19" s="27">
        <f>IFERROR(BDH(C19,"PX_LAST",AU$5,AU$5),"")</f>
        <v>0</v>
      </c>
      <c r="AV19" s="27">
        <f>IFERROR(BDH(C19,"PX_LAST",AV$5,AV$5),"")</f>
        <v>0</v>
      </c>
      <c r="AW19" s="27">
        <f>IFERROR(BDH(C19,"PX_LAST",AW$5,AW$5),"")</f>
        <v>0</v>
      </c>
      <c r="AX19" s="27">
        <f>IFERROR(BDH(C19,"PX_LAST",AX$5,AX$5),"")</f>
        <v>0</v>
      </c>
      <c r="AY19" s="27">
        <f>IFERROR(BDH(C19,"PX_LAST",AY$5,AY$5),"")</f>
        <v>0</v>
      </c>
      <c r="AZ19" s="27">
        <f>IFERROR(BDH(C19,"PX_LAST",AZ$5,AZ$5),"")</f>
        <v>0</v>
      </c>
      <c r="BA19" s="27">
        <f>IFERROR(BDH(C19,"PX_LAST",BA$5,BA$5),"")</f>
        <v>0</v>
      </c>
      <c r="BB19" s="27">
        <f>IFERROR(BDH(C19,"PX_LAST",BB$5,BB$5),"")</f>
        <v>0</v>
      </c>
      <c r="BC19" s="27">
        <f>IFERROR(BDH(C19,"PX_LAST",BC$5,BC$5),"")</f>
        <v>0</v>
      </c>
    </row>
    <row r="20" spans="1:55" ht="20" customHeight="1">
      <c r="A20">
        <f>IFERROR(LARGE(ER!$G:$G,15),0)</f>
        <v>0</v>
      </c>
      <c r="B20">
        <f>IFERROR(MATCH(A20,ER!$G:$G,0),0)</f>
        <v>0</v>
      </c>
      <c r="C20" s="40">
        <f>IFERROR(INDEX(ER!$D:$D,B20),"")</f>
        <v>0</v>
      </c>
      <c r="D20" s="41">
        <f>IFERROR(INDEX(ER!$C:$C,B20),"")</f>
        <v>0</v>
      </c>
      <c r="E20" s="42">
        <f>IFERROR(BDP(C20,"BID_SIZE"),"")</f>
        <v>0</v>
      </c>
      <c r="F20" s="43">
        <f>IFERROR(BDP(C20,"PX_BID"),"")</f>
        <v>0</v>
      </c>
      <c r="G20" s="43">
        <f>IFERROR(BDP(C20,"PX_ASK"),"")</f>
        <v>0</v>
      </c>
      <c r="H20" s="42">
        <f>IFERROR(BDP(C20,"ASK_SIZE"),"")</f>
        <v>0</v>
      </c>
      <c r="I20" s="42">
        <f>IFERROR(BDP(C20,"VOLUME"),"")</f>
        <v>0</v>
      </c>
      <c r="J20" s="43">
        <f>IFERROR(BDP(C20,"PX_LAST"),"")</f>
        <v>0</v>
      </c>
      <c r="K20" s="41">
        <f>IFERROR(BDP(C20,"LAST_UPDATE_DT_EXCH_TZ"),"")</f>
        <v>0</v>
      </c>
      <c r="L20" s="44">
        <f>IFERROR(INDEX(ER!$B:$B,B20),"")</f>
        <v>0</v>
      </c>
      <c r="AC20" s="25">
        <f>IFERROR(AVERAGE(AG20:BC20),"")</f>
        <v>0</v>
      </c>
      <c r="AD20" s="25">
        <f>IFERROR(STDEV(AG20:BC20),"")</f>
        <v>0</v>
      </c>
      <c r="AE20" s="26">
        <f>IFERROR(IF(AD20=0,"",(J20-AC20)/AD20),"")</f>
        <v>0</v>
      </c>
      <c r="AG20" s="27">
        <f>IFERROR(BDH(C20,"PX_LAST",AG$5,AG$5),"")</f>
        <v>0</v>
      </c>
      <c r="AH20" s="27">
        <f>IFERROR(BDH(C20,"PX_LAST",AH$5,AH$5),"")</f>
        <v>0</v>
      </c>
      <c r="AI20" s="27">
        <f>IFERROR(BDH(C20,"PX_LAST",AI$5,AI$5),"")</f>
        <v>0</v>
      </c>
      <c r="AJ20" s="27">
        <f>IFERROR(BDH(C20,"PX_LAST",AJ$5,AJ$5),"")</f>
        <v>0</v>
      </c>
      <c r="AK20" s="27">
        <f>IFERROR(BDH(C20,"PX_LAST",AK$5,AK$5),"")</f>
        <v>0</v>
      </c>
      <c r="AL20" s="27">
        <f>IFERROR(BDH(C20,"PX_LAST",AL$5,AL$5),"")</f>
        <v>0</v>
      </c>
      <c r="AM20" s="27">
        <f>IFERROR(BDH(C20,"PX_LAST",AM$5,AM$5),"")</f>
        <v>0</v>
      </c>
      <c r="AN20" s="27">
        <f>IFERROR(BDH(C20,"PX_LAST",AN$5,AN$5),"")</f>
        <v>0</v>
      </c>
      <c r="AO20" s="27">
        <f>IFERROR(BDH(C20,"PX_LAST",AO$5,AO$5),"")</f>
        <v>0</v>
      </c>
      <c r="AP20" s="27">
        <f>IFERROR(BDH(C20,"PX_LAST",AP$5,AP$5),"")</f>
        <v>0</v>
      </c>
      <c r="AQ20" s="27">
        <f>IFERROR(BDH(C20,"PX_LAST",AQ$5,AQ$5),"")</f>
        <v>0</v>
      </c>
      <c r="AR20" s="27">
        <f>IFERROR(BDH(C20,"PX_LAST",AR$5,AR$5),"")</f>
        <v>0</v>
      </c>
      <c r="AS20" s="27">
        <f>IFERROR(BDH(C20,"PX_LAST",AS$5,AS$5),"")</f>
        <v>0</v>
      </c>
      <c r="AT20" s="27">
        <f>IFERROR(BDH(C20,"PX_LAST",AT$5,AT$5),"")</f>
        <v>0</v>
      </c>
      <c r="AU20" s="27">
        <f>IFERROR(BDH(C20,"PX_LAST",AU$5,AU$5),"")</f>
        <v>0</v>
      </c>
      <c r="AV20" s="27">
        <f>IFERROR(BDH(C20,"PX_LAST",AV$5,AV$5),"")</f>
        <v>0</v>
      </c>
      <c r="AW20" s="27">
        <f>IFERROR(BDH(C20,"PX_LAST",AW$5,AW$5),"")</f>
        <v>0</v>
      </c>
      <c r="AX20" s="27">
        <f>IFERROR(BDH(C20,"PX_LAST",AX$5,AX$5),"")</f>
        <v>0</v>
      </c>
      <c r="AY20" s="27">
        <f>IFERROR(BDH(C20,"PX_LAST",AY$5,AY$5),"")</f>
        <v>0</v>
      </c>
      <c r="AZ20" s="27">
        <f>IFERROR(BDH(C20,"PX_LAST",AZ$5,AZ$5),"")</f>
        <v>0</v>
      </c>
      <c r="BA20" s="27">
        <f>IFERROR(BDH(C20,"PX_LAST",BA$5,BA$5),"")</f>
        <v>0</v>
      </c>
      <c r="BB20" s="27">
        <f>IFERROR(BDH(C20,"PX_LAST",BB$5,BB$5),"")</f>
        <v>0</v>
      </c>
      <c r="BC20" s="27">
        <f>IFERROR(BDH(C20,"PX_LAST",BC$5,BC$5),"")</f>
        <v>0</v>
      </c>
    </row>
    <row r="22" spans="1:55">
      <c r="C22" s="28" t="s">
        <v>1567</v>
      </c>
    </row>
  </sheetData>
  <mergeCells count="1">
    <mergeCell ref="A1:B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Top15'!AG20:BC20</xm:f>
              <xm:sqref>AF20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Top15'!AG19:BC19</xm:f>
              <xm:sqref>AF19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Top15'!AG18:BC18</xm:f>
              <xm:sqref>AF18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Top15'!AG17:BC17</xm:f>
              <xm:sqref>AF17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Top15'!AG16:BC16</xm:f>
              <xm:sqref>AF16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Top15'!AG15:BC15</xm:f>
              <xm:sqref>AF15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Top15'!AG14:BC14</xm:f>
              <xm:sqref>AF14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Top15'!AG13:BC13</xm:f>
              <xm:sqref>AF13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Top15'!AG12:BC12</xm:f>
              <xm:sqref>AF12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Top15'!AG11:BC11</xm:f>
              <xm:sqref>AF11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Top15'!AG10:BC10</xm:f>
              <xm:sqref>AF10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Top15'!AG9:BC9</xm:f>
              <xm:sqref>AF9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Top15'!AG8:BC8</xm:f>
              <xm:sqref>AF8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Top15'!AG7:BC7</xm:f>
              <xm:sqref>AF7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Top15'!AG6:BC6</xm:f>
              <xm:sqref>AF6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BC22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2" width="0" customWidth="1"/>
    <col min="3" max="3" width="24.7109375" customWidth="1"/>
    <col min="4" max="4" width="38.7109375" customWidth="1"/>
    <col min="5" max="5" width="10.7109375" customWidth="1"/>
    <col min="6" max="7" width="9.7109375" customWidth="1"/>
    <col min="8" max="8" width="10.7109375" customWidth="1"/>
    <col min="9" max="9" width="12.7109375" customWidth="1"/>
    <col min="10" max="10" width="11.7109375" customWidth="1"/>
    <col min="11" max="11" width="26.7109375" customWidth="1"/>
    <col min="12" max="12" width="14.7109375" customWidth="1"/>
    <col min="29" max="30" width="11.7109375" customWidth="1"/>
    <col min="31" max="31" width="10.7109375" customWidth="1"/>
    <col min="32" max="32" width="18.7109375" customWidth="1"/>
    <col min="33" max="55" width="7.7109375" customWidth="1"/>
  </cols>
  <sheetData>
    <row r="1" spans="1:55" ht="26" customHeight="1">
      <c r="A1" s="45" t="s">
        <v>1568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</row>
    <row r="2" spans="1:55" ht="5" customHeight="1"/>
    <row r="3" spans="1:55" ht="5" customHeight="1"/>
    <row r="4" spans="1:55" ht="5" customHeight="1"/>
    <row r="5" spans="1:55" ht="30" customHeight="1">
      <c r="C5" s="46" t="s">
        <v>1550</v>
      </c>
      <c r="D5" s="46" t="s">
        <v>2</v>
      </c>
      <c r="E5" s="46" t="s">
        <v>1551</v>
      </c>
      <c r="F5" s="46" t="s">
        <v>7</v>
      </c>
      <c r="G5" s="46" t="s">
        <v>8</v>
      </c>
      <c r="H5" s="46" t="s">
        <v>1552</v>
      </c>
      <c r="I5" s="46" t="s">
        <v>1553</v>
      </c>
      <c r="J5" s="46" t="s">
        <v>1554</v>
      </c>
      <c r="K5" s="46" t="s">
        <v>1555</v>
      </c>
      <c r="L5" s="46" t="s">
        <v>1556</v>
      </c>
      <c r="AC5" s="47" t="s">
        <v>1557</v>
      </c>
      <c r="AD5" s="47" t="s">
        <v>1558</v>
      </c>
      <c r="AE5" s="47" t="s">
        <v>1559</v>
      </c>
      <c r="AF5" s="47" t="s">
        <v>1569</v>
      </c>
      <c r="AG5" s="19">
        <f>WORKDAY(TODAY(),-23)</f>
        <v>0</v>
      </c>
      <c r="AH5" s="19">
        <f>WORKDAY(TODAY(),-22)</f>
        <v>0</v>
      </c>
      <c r="AI5" s="19">
        <f>WORKDAY(TODAY(),-21)</f>
        <v>0</v>
      </c>
      <c r="AJ5" s="19">
        <f>WORKDAY(TODAY(),-20)</f>
        <v>0</v>
      </c>
      <c r="AK5" s="19">
        <f>WORKDAY(TODAY(),-19)</f>
        <v>0</v>
      </c>
      <c r="AL5" s="19">
        <f>WORKDAY(TODAY(),-18)</f>
        <v>0</v>
      </c>
      <c r="AM5" s="19">
        <f>WORKDAY(TODAY(),-17)</f>
        <v>0</v>
      </c>
      <c r="AN5" s="19">
        <f>WORKDAY(TODAY(),-16)</f>
        <v>0</v>
      </c>
      <c r="AO5" s="19">
        <f>WORKDAY(TODAY(),-15)</f>
        <v>0</v>
      </c>
      <c r="AP5" s="19">
        <f>WORKDAY(TODAY(),-14)</f>
        <v>0</v>
      </c>
      <c r="AQ5" s="19">
        <f>WORKDAY(TODAY(),-13)</f>
        <v>0</v>
      </c>
      <c r="AR5" s="19">
        <f>WORKDAY(TODAY(),-12)</f>
        <v>0</v>
      </c>
      <c r="AS5" s="19">
        <f>WORKDAY(TODAY(),-11)</f>
        <v>0</v>
      </c>
      <c r="AT5" s="19">
        <f>WORKDAY(TODAY(),-10)</f>
        <v>0</v>
      </c>
      <c r="AU5" s="19">
        <f>WORKDAY(TODAY(),-9)</f>
        <v>0</v>
      </c>
      <c r="AV5" s="19">
        <f>WORKDAY(TODAY(),-8)</f>
        <v>0</v>
      </c>
      <c r="AW5" s="19">
        <f>WORKDAY(TODAY(),-7)</f>
        <v>0</v>
      </c>
      <c r="AX5" s="19">
        <f>WORKDAY(TODAY(),-6)</f>
        <v>0</v>
      </c>
      <c r="AY5" s="19">
        <f>WORKDAY(TODAY(),-5)</f>
        <v>0</v>
      </c>
      <c r="AZ5" s="19">
        <f>WORKDAY(TODAY(),-4)</f>
        <v>0</v>
      </c>
      <c r="BA5" s="19">
        <f>WORKDAY(TODAY(),-3)</f>
        <v>0</v>
      </c>
      <c r="BB5" s="19">
        <f>WORKDAY(TODAY(),-2)</f>
        <v>0</v>
      </c>
      <c r="BC5" s="19">
        <f>WORKDAY(TODAY(),-1)</f>
        <v>0</v>
      </c>
    </row>
    <row r="6" spans="1:55" ht="20" customHeight="1">
      <c r="A6">
        <f>IFERROR(LARGE(IR!$G:$G,1),0)</f>
        <v>0</v>
      </c>
      <c r="B6">
        <f>IFERROR(MATCH(A6,IR!$G:$G,0),0)</f>
        <v>0</v>
      </c>
      <c r="C6" s="48">
        <f>IFERROR(INDEX(IR!$D:$D,B6),"")</f>
        <v>0</v>
      </c>
      <c r="D6" s="49">
        <f>IFERROR(INDEX(IR!$C:$C,B6),"")</f>
        <v>0</v>
      </c>
      <c r="E6" s="50">
        <f>IFERROR(BDP(C6,"BID_SIZE"),"")</f>
        <v>0</v>
      </c>
      <c r="F6" s="51">
        <f>IFERROR(BDP(C6,"PX_BID"),"")</f>
        <v>0</v>
      </c>
      <c r="G6" s="51">
        <f>IFERROR(BDP(C6,"PX_ASK"),"")</f>
        <v>0</v>
      </c>
      <c r="H6" s="50">
        <f>IFERROR(BDP(C6,"ASK_SIZE"),"")</f>
        <v>0</v>
      </c>
      <c r="I6" s="50">
        <f>IFERROR(BDP(C6,"VOLUME"),"")</f>
        <v>0</v>
      </c>
      <c r="J6" s="51">
        <f>IFERROR(BDP(C6,"PX_LAST"),"")</f>
        <v>0</v>
      </c>
      <c r="K6" s="49">
        <f>IFERROR(BDP(C6,"LAST_UPDATE_DT_EXCH_TZ"),"")</f>
        <v>0</v>
      </c>
      <c r="L6" s="52">
        <f>IFERROR(INDEX(IR!$B:$B,B6),"")</f>
        <v>0</v>
      </c>
      <c r="AC6" s="25">
        <f>IFERROR(AVERAGE(AG6:BC6),"")</f>
        <v>0</v>
      </c>
      <c r="AD6" s="25">
        <f>IFERROR(STDEV(AG6:BC6),"")</f>
        <v>0</v>
      </c>
      <c r="AE6" s="26">
        <f>IFERROR(IF(AD6=0,"",(J6-AC6)/AD6),"")</f>
        <v>0</v>
      </c>
      <c r="AG6" s="27">
        <f>IFERROR(BDH(C6,"PX_LAST",AG$5,AG$5),"")</f>
        <v>0</v>
      </c>
      <c r="AH6" s="27">
        <f>IFERROR(BDH(C6,"PX_LAST",AH$5,AH$5),"")</f>
        <v>0</v>
      </c>
      <c r="AI6" s="27">
        <f>IFERROR(BDH(C6,"PX_LAST",AI$5,AI$5),"")</f>
        <v>0</v>
      </c>
      <c r="AJ6" s="27">
        <f>IFERROR(BDH(C6,"PX_LAST",AJ$5,AJ$5),"")</f>
        <v>0</v>
      </c>
      <c r="AK6" s="27">
        <f>IFERROR(BDH(C6,"PX_LAST",AK$5,AK$5),"")</f>
        <v>0</v>
      </c>
      <c r="AL6" s="27">
        <f>IFERROR(BDH(C6,"PX_LAST",AL$5,AL$5),"")</f>
        <v>0</v>
      </c>
      <c r="AM6" s="27">
        <f>IFERROR(BDH(C6,"PX_LAST",AM$5,AM$5),"")</f>
        <v>0</v>
      </c>
      <c r="AN6" s="27">
        <f>IFERROR(BDH(C6,"PX_LAST",AN$5,AN$5),"")</f>
        <v>0</v>
      </c>
      <c r="AO6" s="27">
        <f>IFERROR(BDH(C6,"PX_LAST",AO$5,AO$5),"")</f>
        <v>0</v>
      </c>
      <c r="AP6" s="27">
        <f>IFERROR(BDH(C6,"PX_LAST",AP$5,AP$5),"")</f>
        <v>0</v>
      </c>
      <c r="AQ6" s="27">
        <f>IFERROR(BDH(C6,"PX_LAST",AQ$5,AQ$5),"")</f>
        <v>0</v>
      </c>
      <c r="AR6" s="27">
        <f>IFERROR(BDH(C6,"PX_LAST",AR$5,AR$5),"")</f>
        <v>0</v>
      </c>
      <c r="AS6" s="27">
        <f>IFERROR(BDH(C6,"PX_LAST",AS$5,AS$5),"")</f>
        <v>0</v>
      </c>
      <c r="AT6" s="27">
        <f>IFERROR(BDH(C6,"PX_LAST",AT$5,AT$5),"")</f>
        <v>0</v>
      </c>
      <c r="AU6" s="27">
        <f>IFERROR(BDH(C6,"PX_LAST",AU$5,AU$5),"")</f>
        <v>0</v>
      </c>
      <c r="AV6" s="27">
        <f>IFERROR(BDH(C6,"PX_LAST",AV$5,AV$5),"")</f>
        <v>0</v>
      </c>
      <c r="AW6" s="27">
        <f>IFERROR(BDH(C6,"PX_LAST",AW$5,AW$5),"")</f>
        <v>0</v>
      </c>
      <c r="AX6" s="27">
        <f>IFERROR(BDH(C6,"PX_LAST",AX$5,AX$5),"")</f>
        <v>0</v>
      </c>
      <c r="AY6" s="27">
        <f>IFERROR(BDH(C6,"PX_LAST",AY$5,AY$5),"")</f>
        <v>0</v>
      </c>
      <c r="AZ6" s="27">
        <f>IFERROR(BDH(C6,"PX_LAST",AZ$5,AZ$5),"")</f>
        <v>0</v>
      </c>
      <c r="BA6" s="27">
        <f>IFERROR(BDH(C6,"PX_LAST",BA$5,BA$5),"")</f>
        <v>0</v>
      </c>
      <c r="BB6" s="27">
        <f>IFERROR(BDH(C6,"PX_LAST",BB$5,BB$5),"")</f>
        <v>0</v>
      </c>
      <c r="BC6" s="27">
        <f>IFERROR(BDH(C6,"PX_LAST",BC$5,BC$5),"")</f>
        <v>0</v>
      </c>
    </row>
    <row r="7" spans="1:55" ht="20" customHeight="1">
      <c r="A7">
        <f>IFERROR(LARGE(IR!$G:$G,2),0)</f>
        <v>0</v>
      </c>
      <c r="B7">
        <f>IFERROR(MATCH(A7,IR!$G:$G,0),0)</f>
        <v>0</v>
      </c>
      <c r="C7" s="48">
        <f>IFERROR(INDEX(IR!$D:$D,B7),"")</f>
        <v>0</v>
      </c>
      <c r="D7" s="49">
        <f>IFERROR(INDEX(IR!$C:$C,B7),"")</f>
        <v>0</v>
      </c>
      <c r="E7" s="50">
        <f>IFERROR(BDP(C7,"BID_SIZE"),"")</f>
        <v>0</v>
      </c>
      <c r="F7" s="51">
        <f>IFERROR(BDP(C7,"PX_BID"),"")</f>
        <v>0</v>
      </c>
      <c r="G7" s="51">
        <f>IFERROR(BDP(C7,"PX_ASK"),"")</f>
        <v>0</v>
      </c>
      <c r="H7" s="50">
        <f>IFERROR(BDP(C7,"ASK_SIZE"),"")</f>
        <v>0</v>
      </c>
      <c r="I7" s="50">
        <f>IFERROR(BDP(C7,"VOLUME"),"")</f>
        <v>0</v>
      </c>
      <c r="J7" s="51">
        <f>IFERROR(BDP(C7,"PX_LAST"),"")</f>
        <v>0</v>
      </c>
      <c r="K7" s="49">
        <f>IFERROR(BDP(C7,"LAST_UPDATE_DT_EXCH_TZ"),"")</f>
        <v>0</v>
      </c>
      <c r="L7" s="52">
        <f>IFERROR(INDEX(IR!$B:$B,B7),"")</f>
        <v>0</v>
      </c>
      <c r="AC7" s="25">
        <f>IFERROR(AVERAGE(AG7:BC7),"")</f>
        <v>0</v>
      </c>
      <c r="AD7" s="25">
        <f>IFERROR(STDEV(AG7:BC7),"")</f>
        <v>0</v>
      </c>
      <c r="AE7" s="26">
        <f>IFERROR(IF(AD7=0,"",(J7-AC7)/AD7),"")</f>
        <v>0</v>
      </c>
      <c r="AG7" s="27">
        <f>IFERROR(BDH(C7,"PX_LAST",AG$5,AG$5),"")</f>
        <v>0</v>
      </c>
      <c r="AH7" s="27">
        <f>IFERROR(BDH(C7,"PX_LAST",AH$5,AH$5),"")</f>
        <v>0</v>
      </c>
      <c r="AI7" s="27">
        <f>IFERROR(BDH(C7,"PX_LAST",AI$5,AI$5),"")</f>
        <v>0</v>
      </c>
      <c r="AJ7" s="27">
        <f>IFERROR(BDH(C7,"PX_LAST",AJ$5,AJ$5),"")</f>
        <v>0</v>
      </c>
      <c r="AK7" s="27">
        <f>IFERROR(BDH(C7,"PX_LAST",AK$5,AK$5),"")</f>
        <v>0</v>
      </c>
      <c r="AL7" s="27">
        <f>IFERROR(BDH(C7,"PX_LAST",AL$5,AL$5),"")</f>
        <v>0</v>
      </c>
      <c r="AM7" s="27">
        <f>IFERROR(BDH(C7,"PX_LAST",AM$5,AM$5),"")</f>
        <v>0</v>
      </c>
      <c r="AN7" s="27">
        <f>IFERROR(BDH(C7,"PX_LAST",AN$5,AN$5),"")</f>
        <v>0</v>
      </c>
      <c r="AO7" s="27">
        <f>IFERROR(BDH(C7,"PX_LAST",AO$5,AO$5),"")</f>
        <v>0</v>
      </c>
      <c r="AP7" s="27">
        <f>IFERROR(BDH(C7,"PX_LAST",AP$5,AP$5),"")</f>
        <v>0</v>
      </c>
      <c r="AQ7" s="27">
        <f>IFERROR(BDH(C7,"PX_LAST",AQ$5,AQ$5),"")</f>
        <v>0</v>
      </c>
      <c r="AR7" s="27">
        <f>IFERROR(BDH(C7,"PX_LAST",AR$5,AR$5),"")</f>
        <v>0</v>
      </c>
      <c r="AS7" s="27">
        <f>IFERROR(BDH(C7,"PX_LAST",AS$5,AS$5),"")</f>
        <v>0</v>
      </c>
      <c r="AT7" s="27">
        <f>IFERROR(BDH(C7,"PX_LAST",AT$5,AT$5),"")</f>
        <v>0</v>
      </c>
      <c r="AU7" s="27">
        <f>IFERROR(BDH(C7,"PX_LAST",AU$5,AU$5),"")</f>
        <v>0</v>
      </c>
      <c r="AV7" s="27">
        <f>IFERROR(BDH(C7,"PX_LAST",AV$5,AV$5),"")</f>
        <v>0</v>
      </c>
      <c r="AW7" s="27">
        <f>IFERROR(BDH(C7,"PX_LAST",AW$5,AW$5),"")</f>
        <v>0</v>
      </c>
      <c r="AX7" s="27">
        <f>IFERROR(BDH(C7,"PX_LAST",AX$5,AX$5),"")</f>
        <v>0</v>
      </c>
      <c r="AY7" s="27">
        <f>IFERROR(BDH(C7,"PX_LAST",AY$5,AY$5),"")</f>
        <v>0</v>
      </c>
      <c r="AZ7" s="27">
        <f>IFERROR(BDH(C7,"PX_LAST",AZ$5,AZ$5),"")</f>
        <v>0</v>
      </c>
      <c r="BA7" s="27">
        <f>IFERROR(BDH(C7,"PX_LAST",BA$5,BA$5),"")</f>
        <v>0</v>
      </c>
      <c r="BB7" s="27">
        <f>IFERROR(BDH(C7,"PX_LAST",BB$5,BB$5),"")</f>
        <v>0</v>
      </c>
      <c r="BC7" s="27">
        <f>IFERROR(BDH(C7,"PX_LAST",BC$5,BC$5),"")</f>
        <v>0</v>
      </c>
    </row>
    <row r="8" spans="1:55" ht="20" customHeight="1">
      <c r="A8">
        <f>IFERROR(LARGE(IR!$G:$G,3),0)</f>
        <v>0</v>
      </c>
      <c r="B8">
        <f>IFERROR(MATCH(A8,IR!$G:$G,0),0)</f>
        <v>0</v>
      </c>
      <c r="C8" s="48">
        <f>IFERROR(INDEX(IR!$D:$D,B8),"")</f>
        <v>0</v>
      </c>
      <c r="D8" s="49">
        <f>IFERROR(INDEX(IR!$C:$C,B8),"")</f>
        <v>0</v>
      </c>
      <c r="E8" s="50">
        <f>IFERROR(BDP(C8,"BID_SIZE"),"")</f>
        <v>0</v>
      </c>
      <c r="F8" s="51">
        <f>IFERROR(BDP(C8,"PX_BID"),"")</f>
        <v>0</v>
      </c>
      <c r="G8" s="51">
        <f>IFERROR(BDP(C8,"PX_ASK"),"")</f>
        <v>0</v>
      </c>
      <c r="H8" s="50">
        <f>IFERROR(BDP(C8,"ASK_SIZE"),"")</f>
        <v>0</v>
      </c>
      <c r="I8" s="50">
        <f>IFERROR(BDP(C8,"VOLUME"),"")</f>
        <v>0</v>
      </c>
      <c r="J8" s="51">
        <f>IFERROR(BDP(C8,"PX_LAST"),"")</f>
        <v>0</v>
      </c>
      <c r="K8" s="49">
        <f>IFERROR(BDP(C8,"LAST_UPDATE_DT_EXCH_TZ"),"")</f>
        <v>0</v>
      </c>
      <c r="L8" s="52">
        <f>IFERROR(INDEX(IR!$B:$B,B8),"")</f>
        <v>0</v>
      </c>
      <c r="AC8" s="25">
        <f>IFERROR(AVERAGE(AG8:BC8),"")</f>
        <v>0</v>
      </c>
      <c r="AD8" s="25">
        <f>IFERROR(STDEV(AG8:BC8),"")</f>
        <v>0</v>
      </c>
      <c r="AE8" s="26">
        <f>IFERROR(IF(AD8=0,"",(J8-AC8)/AD8),"")</f>
        <v>0</v>
      </c>
      <c r="AG8" s="27">
        <f>IFERROR(BDH(C8,"PX_LAST",AG$5,AG$5),"")</f>
        <v>0</v>
      </c>
      <c r="AH8" s="27">
        <f>IFERROR(BDH(C8,"PX_LAST",AH$5,AH$5),"")</f>
        <v>0</v>
      </c>
      <c r="AI8" s="27">
        <f>IFERROR(BDH(C8,"PX_LAST",AI$5,AI$5),"")</f>
        <v>0</v>
      </c>
      <c r="AJ8" s="27">
        <f>IFERROR(BDH(C8,"PX_LAST",AJ$5,AJ$5),"")</f>
        <v>0</v>
      </c>
      <c r="AK8" s="27">
        <f>IFERROR(BDH(C8,"PX_LAST",AK$5,AK$5),"")</f>
        <v>0</v>
      </c>
      <c r="AL8" s="27">
        <f>IFERROR(BDH(C8,"PX_LAST",AL$5,AL$5),"")</f>
        <v>0</v>
      </c>
      <c r="AM8" s="27">
        <f>IFERROR(BDH(C8,"PX_LAST",AM$5,AM$5),"")</f>
        <v>0</v>
      </c>
      <c r="AN8" s="27">
        <f>IFERROR(BDH(C8,"PX_LAST",AN$5,AN$5),"")</f>
        <v>0</v>
      </c>
      <c r="AO8" s="27">
        <f>IFERROR(BDH(C8,"PX_LAST",AO$5,AO$5),"")</f>
        <v>0</v>
      </c>
      <c r="AP8" s="27">
        <f>IFERROR(BDH(C8,"PX_LAST",AP$5,AP$5),"")</f>
        <v>0</v>
      </c>
      <c r="AQ8" s="27">
        <f>IFERROR(BDH(C8,"PX_LAST",AQ$5,AQ$5),"")</f>
        <v>0</v>
      </c>
      <c r="AR8" s="27">
        <f>IFERROR(BDH(C8,"PX_LAST",AR$5,AR$5),"")</f>
        <v>0</v>
      </c>
      <c r="AS8" s="27">
        <f>IFERROR(BDH(C8,"PX_LAST",AS$5,AS$5),"")</f>
        <v>0</v>
      </c>
      <c r="AT8" s="27">
        <f>IFERROR(BDH(C8,"PX_LAST",AT$5,AT$5),"")</f>
        <v>0</v>
      </c>
      <c r="AU8" s="27">
        <f>IFERROR(BDH(C8,"PX_LAST",AU$5,AU$5),"")</f>
        <v>0</v>
      </c>
      <c r="AV8" s="27">
        <f>IFERROR(BDH(C8,"PX_LAST",AV$5,AV$5),"")</f>
        <v>0</v>
      </c>
      <c r="AW8" s="27">
        <f>IFERROR(BDH(C8,"PX_LAST",AW$5,AW$5),"")</f>
        <v>0</v>
      </c>
      <c r="AX8" s="27">
        <f>IFERROR(BDH(C8,"PX_LAST",AX$5,AX$5),"")</f>
        <v>0</v>
      </c>
      <c r="AY8" s="27">
        <f>IFERROR(BDH(C8,"PX_LAST",AY$5,AY$5),"")</f>
        <v>0</v>
      </c>
      <c r="AZ8" s="27">
        <f>IFERROR(BDH(C8,"PX_LAST",AZ$5,AZ$5),"")</f>
        <v>0</v>
      </c>
      <c r="BA8" s="27">
        <f>IFERROR(BDH(C8,"PX_LAST",BA$5,BA$5),"")</f>
        <v>0</v>
      </c>
      <c r="BB8" s="27">
        <f>IFERROR(BDH(C8,"PX_LAST",BB$5,BB$5),"")</f>
        <v>0</v>
      </c>
      <c r="BC8" s="27">
        <f>IFERROR(BDH(C8,"PX_LAST",BC$5,BC$5),"")</f>
        <v>0</v>
      </c>
    </row>
    <row r="9" spans="1:55" ht="20" customHeight="1">
      <c r="A9">
        <f>IFERROR(LARGE(IR!$G:$G,4),0)</f>
        <v>0</v>
      </c>
      <c r="B9">
        <f>IFERROR(MATCH(A9,IR!$G:$G,0),0)</f>
        <v>0</v>
      </c>
      <c r="C9" s="48">
        <f>IFERROR(INDEX(IR!$D:$D,B9),"")</f>
        <v>0</v>
      </c>
      <c r="D9" s="49">
        <f>IFERROR(INDEX(IR!$C:$C,B9),"")</f>
        <v>0</v>
      </c>
      <c r="E9" s="50">
        <f>IFERROR(BDP(C9,"BID_SIZE"),"")</f>
        <v>0</v>
      </c>
      <c r="F9" s="51">
        <f>IFERROR(BDP(C9,"PX_BID"),"")</f>
        <v>0</v>
      </c>
      <c r="G9" s="51">
        <f>IFERROR(BDP(C9,"PX_ASK"),"")</f>
        <v>0</v>
      </c>
      <c r="H9" s="50">
        <f>IFERROR(BDP(C9,"ASK_SIZE"),"")</f>
        <v>0</v>
      </c>
      <c r="I9" s="50">
        <f>IFERROR(BDP(C9,"VOLUME"),"")</f>
        <v>0</v>
      </c>
      <c r="J9" s="51">
        <f>IFERROR(BDP(C9,"PX_LAST"),"")</f>
        <v>0</v>
      </c>
      <c r="K9" s="49">
        <f>IFERROR(BDP(C9,"LAST_UPDATE_DT_EXCH_TZ"),"")</f>
        <v>0</v>
      </c>
      <c r="L9" s="52">
        <f>IFERROR(INDEX(IR!$B:$B,B9),"")</f>
        <v>0</v>
      </c>
      <c r="AC9" s="25">
        <f>IFERROR(AVERAGE(AG9:BC9),"")</f>
        <v>0</v>
      </c>
      <c r="AD9" s="25">
        <f>IFERROR(STDEV(AG9:BC9),"")</f>
        <v>0</v>
      </c>
      <c r="AE9" s="26">
        <f>IFERROR(IF(AD9=0,"",(J9-AC9)/AD9),"")</f>
        <v>0</v>
      </c>
      <c r="AG9" s="27">
        <f>IFERROR(BDH(C9,"PX_LAST",AG$5,AG$5),"")</f>
        <v>0</v>
      </c>
      <c r="AH9" s="27">
        <f>IFERROR(BDH(C9,"PX_LAST",AH$5,AH$5),"")</f>
        <v>0</v>
      </c>
      <c r="AI9" s="27">
        <f>IFERROR(BDH(C9,"PX_LAST",AI$5,AI$5),"")</f>
        <v>0</v>
      </c>
      <c r="AJ9" s="27">
        <f>IFERROR(BDH(C9,"PX_LAST",AJ$5,AJ$5),"")</f>
        <v>0</v>
      </c>
      <c r="AK9" s="27">
        <f>IFERROR(BDH(C9,"PX_LAST",AK$5,AK$5),"")</f>
        <v>0</v>
      </c>
      <c r="AL9" s="27">
        <f>IFERROR(BDH(C9,"PX_LAST",AL$5,AL$5),"")</f>
        <v>0</v>
      </c>
      <c r="AM9" s="27">
        <f>IFERROR(BDH(C9,"PX_LAST",AM$5,AM$5),"")</f>
        <v>0</v>
      </c>
      <c r="AN9" s="27">
        <f>IFERROR(BDH(C9,"PX_LAST",AN$5,AN$5),"")</f>
        <v>0</v>
      </c>
      <c r="AO9" s="27">
        <f>IFERROR(BDH(C9,"PX_LAST",AO$5,AO$5),"")</f>
        <v>0</v>
      </c>
      <c r="AP9" s="27">
        <f>IFERROR(BDH(C9,"PX_LAST",AP$5,AP$5),"")</f>
        <v>0</v>
      </c>
      <c r="AQ9" s="27">
        <f>IFERROR(BDH(C9,"PX_LAST",AQ$5,AQ$5),"")</f>
        <v>0</v>
      </c>
      <c r="AR9" s="27">
        <f>IFERROR(BDH(C9,"PX_LAST",AR$5,AR$5),"")</f>
        <v>0</v>
      </c>
      <c r="AS9" s="27">
        <f>IFERROR(BDH(C9,"PX_LAST",AS$5,AS$5),"")</f>
        <v>0</v>
      </c>
      <c r="AT9" s="27">
        <f>IFERROR(BDH(C9,"PX_LAST",AT$5,AT$5),"")</f>
        <v>0</v>
      </c>
      <c r="AU9" s="27">
        <f>IFERROR(BDH(C9,"PX_LAST",AU$5,AU$5),"")</f>
        <v>0</v>
      </c>
      <c r="AV9" s="27">
        <f>IFERROR(BDH(C9,"PX_LAST",AV$5,AV$5),"")</f>
        <v>0</v>
      </c>
      <c r="AW9" s="27">
        <f>IFERROR(BDH(C9,"PX_LAST",AW$5,AW$5),"")</f>
        <v>0</v>
      </c>
      <c r="AX9" s="27">
        <f>IFERROR(BDH(C9,"PX_LAST",AX$5,AX$5),"")</f>
        <v>0</v>
      </c>
      <c r="AY9" s="27">
        <f>IFERROR(BDH(C9,"PX_LAST",AY$5,AY$5),"")</f>
        <v>0</v>
      </c>
      <c r="AZ9" s="27">
        <f>IFERROR(BDH(C9,"PX_LAST",AZ$5,AZ$5),"")</f>
        <v>0</v>
      </c>
      <c r="BA9" s="27">
        <f>IFERROR(BDH(C9,"PX_LAST",BA$5,BA$5),"")</f>
        <v>0</v>
      </c>
      <c r="BB9" s="27">
        <f>IFERROR(BDH(C9,"PX_LAST",BB$5,BB$5),"")</f>
        <v>0</v>
      </c>
      <c r="BC9" s="27">
        <f>IFERROR(BDH(C9,"PX_LAST",BC$5,BC$5),"")</f>
        <v>0</v>
      </c>
    </row>
    <row r="10" spans="1:55" ht="20" customHeight="1">
      <c r="A10">
        <f>IFERROR(LARGE(IR!$G:$G,5),0)</f>
        <v>0</v>
      </c>
      <c r="B10">
        <f>IFERROR(MATCH(A10,IR!$G:$G,0),0)</f>
        <v>0</v>
      </c>
      <c r="C10" s="48">
        <f>IFERROR(INDEX(IR!$D:$D,B10),"")</f>
        <v>0</v>
      </c>
      <c r="D10" s="49">
        <f>IFERROR(INDEX(IR!$C:$C,B10),"")</f>
        <v>0</v>
      </c>
      <c r="E10" s="50">
        <f>IFERROR(BDP(C10,"BID_SIZE"),"")</f>
        <v>0</v>
      </c>
      <c r="F10" s="51">
        <f>IFERROR(BDP(C10,"PX_BID"),"")</f>
        <v>0</v>
      </c>
      <c r="G10" s="51">
        <f>IFERROR(BDP(C10,"PX_ASK"),"")</f>
        <v>0</v>
      </c>
      <c r="H10" s="50">
        <f>IFERROR(BDP(C10,"ASK_SIZE"),"")</f>
        <v>0</v>
      </c>
      <c r="I10" s="50">
        <f>IFERROR(BDP(C10,"VOLUME"),"")</f>
        <v>0</v>
      </c>
      <c r="J10" s="51">
        <f>IFERROR(BDP(C10,"PX_LAST"),"")</f>
        <v>0</v>
      </c>
      <c r="K10" s="49">
        <f>IFERROR(BDP(C10,"LAST_UPDATE_DT_EXCH_TZ"),"")</f>
        <v>0</v>
      </c>
      <c r="L10" s="52">
        <f>IFERROR(INDEX(IR!$B:$B,B10),"")</f>
        <v>0</v>
      </c>
      <c r="AC10" s="25">
        <f>IFERROR(AVERAGE(AG10:BC10),"")</f>
        <v>0</v>
      </c>
      <c r="AD10" s="25">
        <f>IFERROR(STDEV(AG10:BC10),"")</f>
        <v>0</v>
      </c>
      <c r="AE10" s="26">
        <f>IFERROR(IF(AD10=0,"",(J10-AC10)/AD10),"")</f>
        <v>0</v>
      </c>
      <c r="AG10" s="27">
        <f>IFERROR(BDH(C10,"PX_LAST",AG$5,AG$5),"")</f>
        <v>0</v>
      </c>
      <c r="AH10" s="27">
        <f>IFERROR(BDH(C10,"PX_LAST",AH$5,AH$5),"")</f>
        <v>0</v>
      </c>
      <c r="AI10" s="27">
        <f>IFERROR(BDH(C10,"PX_LAST",AI$5,AI$5),"")</f>
        <v>0</v>
      </c>
      <c r="AJ10" s="27">
        <f>IFERROR(BDH(C10,"PX_LAST",AJ$5,AJ$5),"")</f>
        <v>0</v>
      </c>
      <c r="AK10" s="27">
        <f>IFERROR(BDH(C10,"PX_LAST",AK$5,AK$5),"")</f>
        <v>0</v>
      </c>
      <c r="AL10" s="27">
        <f>IFERROR(BDH(C10,"PX_LAST",AL$5,AL$5),"")</f>
        <v>0</v>
      </c>
      <c r="AM10" s="27">
        <f>IFERROR(BDH(C10,"PX_LAST",AM$5,AM$5),"")</f>
        <v>0</v>
      </c>
      <c r="AN10" s="27">
        <f>IFERROR(BDH(C10,"PX_LAST",AN$5,AN$5),"")</f>
        <v>0</v>
      </c>
      <c r="AO10" s="27">
        <f>IFERROR(BDH(C10,"PX_LAST",AO$5,AO$5),"")</f>
        <v>0</v>
      </c>
      <c r="AP10" s="27">
        <f>IFERROR(BDH(C10,"PX_LAST",AP$5,AP$5),"")</f>
        <v>0</v>
      </c>
      <c r="AQ10" s="27">
        <f>IFERROR(BDH(C10,"PX_LAST",AQ$5,AQ$5),"")</f>
        <v>0</v>
      </c>
      <c r="AR10" s="27">
        <f>IFERROR(BDH(C10,"PX_LAST",AR$5,AR$5),"")</f>
        <v>0</v>
      </c>
      <c r="AS10" s="27">
        <f>IFERROR(BDH(C10,"PX_LAST",AS$5,AS$5),"")</f>
        <v>0</v>
      </c>
      <c r="AT10" s="27">
        <f>IFERROR(BDH(C10,"PX_LAST",AT$5,AT$5),"")</f>
        <v>0</v>
      </c>
      <c r="AU10" s="27">
        <f>IFERROR(BDH(C10,"PX_LAST",AU$5,AU$5),"")</f>
        <v>0</v>
      </c>
      <c r="AV10" s="27">
        <f>IFERROR(BDH(C10,"PX_LAST",AV$5,AV$5),"")</f>
        <v>0</v>
      </c>
      <c r="AW10" s="27">
        <f>IFERROR(BDH(C10,"PX_LAST",AW$5,AW$5),"")</f>
        <v>0</v>
      </c>
      <c r="AX10" s="27">
        <f>IFERROR(BDH(C10,"PX_LAST",AX$5,AX$5),"")</f>
        <v>0</v>
      </c>
      <c r="AY10" s="27">
        <f>IFERROR(BDH(C10,"PX_LAST",AY$5,AY$5),"")</f>
        <v>0</v>
      </c>
      <c r="AZ10" s="27">
        <f>IFERROR(BDH(C10,"PX_LAST",AZ$5,AZ$5),"")</f>
        <v>0</v>
      </c>
      <c r="BA10" s="27">
        <f>IFERROR(BDH(C10,"PX_LAST",BA$5,BA$5),"")</f>
        <v>0</v>
      </c>
      <c r="BB10" s="27">
        <f>IFERROR(BDH(C10,"PX_LAST",BB$5,BB$5),"")</f>
        <v>0</v>
      </c>
      <c r="BC10" s="27">
        <f>IFERROR(BDH(C10,"PX_LAST",BC$5,BC$5),"")</f>
        <v>0</v>
      </c>
    </row>
    <row r="11" spans="1:55" ht="20" customHeight="1">
      <c r="A11">
        <f>IFERROR(LARGE(IR!$G:$G,6),0)</f>
        <v>0</v>
      </c>
      <c r="B11">
        <f>IFERROR(MATCH(A11,IR!$G:$G,0),0)</f>
        <v>0</v>
      </c>
      <c r="C11" s="48">
        <f>IFERROR(INDEX(IR!$D:$D,B11),"")</f>
        <v>0</v>
      </c>
      <c r="D11" s="49">
        <f>IFERROR(INDEX(IR!$C:$C,B11),"")</f>
        <v>0</v>
      </c>
      <c r="E11" s="50">
        <f>IFERROR(BDP(C11,"BID_SIZE"),"")</f>
        <v>0</v>
      </c>
      <c r="F11" s="51">
        <f>IFERROR(BDP(C11,"PX_BID"),"")</f>
        <v>0</v>
      </c>
      <c r="G11" s="51">
        <f>IFERROR(BDP(C11,"PX_ASK"),"")</f>
        <v>0</v>
      </c>
      <c r="H11" s="50">
        <f>IFERROR(BDP(C11,"ASK_SIZE"),"")</f>
        <v>0</v>
      </c>
      <c r="I11" s="50">
        <f>IFERROR(BDP(C11,"VOLUME"),"")</f>
        <v>0</v>
      </c>
      <c r="J11" s="51">
        <f>IFERROR(BDP(C11,"PX_LAST"),"")</f>
        <v>0</v>
      </c>
      <c r="K11" s="49">
        <f>IFERROR(BDP(C11,"LAST_UPDATE_DT_EXCH_TZ"),"")</f>
        <v>0</v>
      </c>
      <c r="L11" s="52">
        <f>IFERROR(INDEX(IR!$B:$B,B11),"")</f>
        <v>0</v>
      </c>
      <c r="AC11" s="25">
        <f>IFERROR(AVERAGE(AG11:BC11),"")</f>
        <v>0</v>
      </c>
      <c r="AD11" s="25">
        <f>IFERROR(STDEV(AG11:BC11),"")</f>
        <v>0</v>
      </c>
      <c r="AE11" s="26">
        <f>IFERROR(IF(AD11=0,"",(J11-AC11)/AD11),"")</f>
        <v>0</v>
      </c>
      <c r="AG11" s="27">
        <f>IFERROR(BDH(C11,"PX_LAST",AG$5,AG$5),"")</f>
        <v>0</v>
      </c>
      <c r="AH11" s="27">
        <f>IFERROR(BDH(C11,"PX_LAST",AH$5,AH$5),"")</f>
        <v>0</v>
      </c>
      <c r="AI11" s="27">
        <f>IFERROR(BDH(C11,"PX_LAST",AI$5,AI$5),"")</f>
        <v>0</v>
      </c>
      <c r="AJ11" s="27">
        <f>IFERROR(BDH(C11,"PX_LAST",AJ$5,AJ$5),"")</f>
        <v>0</v>
      </c>
      <c r="AK11" s="27">
        <f>IFERROR(BDH(C11,"PX_LAST",AK$5,AK$5),"")</f>
        <v>0</v>
      </c>
      <c r="AL11" s="27">
        <f>IFERROR(BDH(C11,"PX_LAST",AL$5,AL$5),"")</f>
        <v>0</v>
      </c>
      <c r="AM11" s="27">
        <f>IFERROR(BDH(C11,"PX_LAST",AM$5,AM$5),"")</f>
        <v>0</v>
      </c>
      <c r="AN11" s="27">
        <f>IFERROR(BDH(C11,"PX_LAST",AN$5,AN$5),"")</f>
        <v>0</v>
      </c>
      <c r="AO11" s="27">
        <f>IFERROR(BDH(C11,"PX_LAST",AO$5,AO$5),"")</f>
        <v>0</v>
      </c>
      <c r="AP11" s="27">
        <f>IFERROR(BDH(C11,"PX_LAST",AP$5,AP$5),"")</f>
        <v>0</v>
      </c>
      <c r="AQ11" s="27">
        <f>IFERROR(BDH(C11,"PX_LAST",AQ$5,AQ$5),"")</f>
        <v>0</v>
      </c>
      <c r="AR11" s="27">
        <f>IFERROR(BDH(C11,"PX_LAST",AR$5,AR$5),"")</f>
        <v>0</v>
      </c>
      <c r="AS11" s="27">
        <f>IFERROR(BDH(C11,"PX_LAST",AS$5,AS$5),"")</f>
        <v>0</v>
      </c>
      <c r="AT11" s="27">
        <f>IFERROR(BDH(C11,"PX_LAST",AT$5,AT$5),"")</f>
        <v>0</v>
      </c>
      <c r="AU11" s="27">
        <f>IFERROR(BDH(C11,"PX_LAST",AU$5,AU$5),"")</f>
        <v>0</v>
      </c>
      <c r="AV11" s="27">
        <f>IFERROR(BDH(C11,"PX_LAST",AV$5,AV$5),"")</f>
        <v>0</v>
      </c>
      <c r="AW11" s="27">
        <f>IFERROR(BDH(C11,"PX_LAST",AW$5,AW$5),"")</f>
        <v>0</v>
      </c>
      <c r="AX11" s="27">
        <f>IFERROR(BDH(C11,"PX_LAST",AX$5,AX$5),"")</f>
        <v>0</v>
      </c>
      <c r="AY11" s="27">
        <f>IFERROR(BDH(C11,"PX_LAST",AY$5,AY$5),"")</f>
        <v>0</v>
      </c>
      <c r="AZ11" s="27">
        <f>IFERROR(BDH(C11,"PX_LAST",AZ$5,AZ$5),"")</f>
        <v>0</v>
      </c>
      <c r="BA11" s="27">
        <f>IFERROR(BDH(C11,"PX_LAST",BA$5,BA$5),"")</f>
        <v>0</v>
      </c>
      <c r="BB11" s="27">
        <f>IFERROR(BDH(C11,"PX_LAST",BB$5,BB$5),"")</f>
        <v>0</v>
      </c>
      <c r="BC11" s="27">
        <f>IFERROR(BDH(C11,"PX_LAST",BC$5,BC$5),"")</f>
        <v>0</v>
      </c>
    </row>
    <row r="12" spans="1:55" ht="20" customHeight="1">
      <c r="A12">
        <f>IFERROR(LARGE(IR!$G:$G,7),0)</f>
        <v>0</v>
      </c>
      <c r="B12">
        <f>IFERROR(MATCH(A12,IR!$G:$G,0),0)</f>
        <v>0</v>
      </c>
      <c r="C12" s="48">
        <f>IFERROR(INDEX(IR!$D:$D,B12),"")</f>
        <v>0</v>
      </c>
      <c r="D12" s="49">
        <f>IFERROR(INDEX(IR!$C:$C,B12),"")</f>
        <v>0</v>
      </c>
      <c r="E12" s="50">
        <f>IFERROR(BDP(C12,"BID_SIZE"),"")</f>
        <v>0</v>
      </c>
      <c r="F12" s="51">
        <f>IFERROR(BDP(C12,"PX_BID"),"")</f>
        <v>0</v>
      </c>
      <c r="G12" s="51">
        <f>IFERROR(BDP(C12,"PX_ASK"),"")</f>
        <v>0</v>
      </c>
      <c r="H12" s="50">
        <f>IFERROR(BDP(C12,"ASK_SIZE"),"")</f>
        <v>0</v>
      </c>
      <c r="I12" s="50">
        <f>IFERROR(BDP(C12,"VOLUME"),"")</f>
        <v>0</v>
      </c>
      <c r="J12" s="51">
        <f>IFERROR(BDP(C12,"PX_LAST"),"")</f>
        <v>0</v>
      </c>
      <c r="K12" s="49">
        <f>IFERROR(BDP(C12,"LAST_UPDATE_DT_EXCH_TZ"),"")</f>
        <v>0</v>
      </c>
      <c r="L12" s="52">
        <f>IFERROR(INDEX(IR!$B:$B,B12),"")</f>
        <v>0</v>
      </c>
      <c r="AC12" s="25">
        <f>IFERROR(AVERAGE(AG12:BC12),"")</f>
        <v>0</v>
      </c>
      <c r="AD12" s="25">
        <f>IFERROR(STDEV(AG12:BC12),"")</f>
        <v>0</v>
      </c>
      <c r="AE12" s="26">
        <f>IFERROR(IF(AD12=0,"",(J12-AC12)/AD12),"")</f>
        <v>0</v>
      </c>
      <c r="AG12" s="27">
        <f>IFERROR(BDH(C12,"PX_LAST",AG$5,AG$5),"")</f>
        <v>0</v>
      </c>
      <c r="AH12" s="27">
        <f>IFERROR(BDH(C12,"PX_LAST",AH$5,AH$5),"")</f>
        <v>0</v>
      </c>
      <c r="AI12" s="27">
        <f>IFERROR(BDH(C12,"PX_LAST",AI$5,AI$5),"")</f>
        <v>0</v>
      </c>
      <c r="AJ12" s="27">
        <f>IFERROR(BDH(C12,"PX_LAST",AJ$5,AJ$5),"")</f>
        <v>0</v>
      </c>
      <c r="AK12" s="27">
        <f>IFERROR(BDH(C12,"PX_LAST",AK$5,AK$5),"")</f>
        <v>0</v>
      </c>
      <c r="AL12" s="27">
        <f>IFERROR(BDH(C12,"PX_LAST",AL$5,AL$5),"")</f>
        <v>0</v>
      </c>
      <c r="AM12" s="27">
        <f>IFERROR(BDH(C12,"PX_LAST",AM$5,AM$5),"")</f>
        <v>0</v>
      </c>
      <c r="AN12" s="27">
        <f>IFERROR(BDH(C12,"PX_LAST",AN$5,AN$5),"")</f>
        <v>0</v>
      </c>
      <c r="AO12" s="27">
        <f>IFERROR(BDH(C12,"PX_LAST",AO$5,AO$5),"")</f>
        <v>0</v>
      </c>
      <c r="AP12" s="27">
        <f>IFERROR(BDH(C12,"PX_LAST",AP$5,AP$5),"")</f>
        <v>0</v>
      </c>
      <c r="AQ12" s="27">
        <f>IFERROR(BDH(C12,"PX_LAST",AQ$5,AQ$5),"")</f>
        <v>0</v>
      </c>
      <c r="AR12" s="27">
        <f>IFERROR(BDH(C12,"PX_LAST",AR$5,AR$5),"")</f>
        <v>0</v>
      </c>
      <c r="AS12" s="27">
        <f>IFERROR(BDH(C12,"PX_LAST",AS$5,AS$5),"")</f>
        <v>0</v>
      </c>
      <c r="AT12" s="27">
        <f>IFERROR(BDH(C12,"PX_LAST",AT$5,AT$5),"")</f>
        <v>0</v>
      </c>
      <c r="AU12" s="27">
        <f>IFERROR(BDH(C12,"PX_LAST",AU$5,AU$5),"")</f>
        <v>0</v>
      </c>
      <c r="AV12" s="27">
        <f>IFERROR(BDH(C12,"PX_LAST",AV$5,AV$5),"")</f>
        <v>0</v>
      </c>
      <c r="AW12" s="27">
        <f>IFERROR(BDH(C12,"PX_LAST",AW$5,AW$5),"")</f>
        <v>0</v>
      </c>
      <c r="AX12" s="27">
        <f>IFERROR(BDH(C12,"PX_LAST",AX$5,AX$5),"")</f>
        <v>0</v>
      </c>
      <c r="AY12" s="27">
        <f>IFERROR(BDH(C12,"PX_LAST",AY$5,AY$5),"")</f>
        <v>0</v>
      </c>
      <c r="AZ12" s="27">
        <f>IFERROR(BDH(C12,"PX_LAST",AZ$5,AZ$5),"")</f>
        <v>0</v>
      </c>
      <c r="BA12" s="27">
        <f>IFERROR(BDH(C12,"PX_LAST",BA$5,BA$5),"")</f>
        <v>0</v>
      </c>
      <c r="BB12" s="27">
        <f>IFERROR(BDH(C12,"PX_LAST",BB$5,BB$5),"")</f>
        <v>0</v>
      </c>
      <c r="BC12" s="27">
        <f>IFERROR(BDH(C12,"PX_LAST",BC$5,BC$5),"")</f>
        <v>0</v>
      </c>
    </row>
    <row r="13" spans="1:55" ht="20" customHeight="1">
      <c r="A13">
        <f>IFERROR(LARGE(IR!$G:$G,8),0)</f>
        <v>0</v>
      </c>
      <c r="B13">
        <f>IFERROR(MATCH(A13,IR!$G:$G,0),0)</f>
        <v>0</v>
      </c>
      <c r="C13" s="48">
        <f>IFERROR(INDEX(IR!$D:$D,B13),"")</f>
        <v>0</v>
      </c>
      <c r="D13" s="49">
        <f>IFERROR(INDEX(IR!$C:$C,B13),"")</f>
        <v>0</v>
      </c>
      <c r="E13" s="50">
        <f>IFERROR(BDP(C13,"BID_SIZE"),"")</f>
        <v>0</v>
      </c>
      <c r="F13" s="51">
        <f>IFERROR(BDP(C13,"PX_BID"),"")</f>
        <v>0</v>
      </c>
      <c r="G13" s="51">
        <f>IFERROR(BDP(C13,"PX_ASK"),"")</f>
        <v>0</v>
      </c>
      <c r="H13" s="50">
        <f>IFERROR(BDP(C13,"ASK_SIZE"),"")</f>
        <v>0</v>
      </c>
      <c r="I13" s="50">
        <f>IFERROR(BDP(C13,"VOLUME"),"")</f>
        <v>0</v>
      </c>
      <c r="J13" s="51">
        <f>IFERROR(BDP(C13,"PX_LAST"),"")</f>
        <v>0</v>
      </c>
      <c r="K13" s="49">
        <f>IFERROR(BDP(C13,"LAST_UPDATE_DT_EXCH_TZ"),"")</f>
        <v>0</v>
      </c>
      <c r="L13" s="52">
        <f>IFERROR(INDEX(IR!$B:$B,B13),"")</f>
        <v>0</v>
      </c>
      <c r="AC13" s="25">
        <f>IFERROR(AVERAGE(AG13:BC13),"")</f>
        <v>0</v>
      </c>
      <c r="AD13" s="25">
        <f>IFERROR(STDEV(AG13:BC13),"")</f>
        <v>0</v>
      </c>
      <c r="AE13" s="26">
        <f>IFERROR(IF(AD13=0,"",(J13-AC13)/AD13),"")</f>
        <v>0</v>
      </c>
      <c r="AG13" s="27">
        <f>IFERROR(BDH(C13,"PX_LAST",AG$5,AG$5),"")</f>
        <v>0</v>
      </c>
      <c r="AH13" s="27">
        <f>IFERROR(BDH(C13,"PX_LAST",AH$5,AH$5),"")</f>
        <v>0</v>
      </c>
      <c r="AI13" s="27">
        <f>IFERROR(BDH(C13,"PX_LAST",AI$5,AI$5),"")</f>
        <v>0</v>
      </c>
      <c r="AJ13" s="27">
        <f>IFERROR(BDH(C13,"PX_LAST",AJ$5,AJ$5),"")</f>
        <v>0</v>
      </c>
      <c r="AK13" s="27">
        <f>IFERROR(BDH(C13,"PX_LAST",AK$5,AK$5),"")</f>
        <v>0</v>
      </c>
      <c r="AL13" s="27">
        <f>IFERROR(BDH(C13,"PX_LAST",AL$5,AL$5),"")</f>
        <v>0</v>
      </c>
      <c r="AM13" s="27">
        <f>IFERROR(BDH(C13,"PX_LAST",AM$5,AM$5),"")</f>
        <v>0</v>
      </c>
      <c r="AN13" s="27">
        <f>IFERROR(BDH(C13,"PX_LAST",AN$5,AN$5),"")</f>
        <v>0</v>
      </c>
      <c r="AO13" s="27">
        <f>IFERROR(BDH(C13,"PX_LAST",AO$5,AO$5),"")</f>
        <v>0</v>
      </c>
      <c r="AP13" s="27">
        <f>IFERROR(BDH(C13,"PX_LAST",AP$5,AP$5),"")</f>
        <v>0</v>
      </c>
      <c r="AQ13" s="27">
        <f>IFERROR(BDH(C13,"PX_LAST",AQ$5,AQ$5),"")</f>
        <v>0</v>
      </c>
      <c r="AR13" s="27">
        <f>IFERROR(BDH(C13,"PX_LAST",AR$5,AR$5),"")</f>
        <v>0</v>
      </c>
      <c r="AS13" s="27">
        <f>IFERROR(BDH(C13,"PX_LAST",AS$5,AS$5),"")</f>
        <v>0</v>
      </c>
      <c r="AT13" s="27">
        <f>IFERROR(BDH(C13,"PX_LAST",AT$5,AT$5),"")</f>
        <v>0</v>
      </c>
      <c r="AU13" s="27">
        <f>IFERROR(BDH(C13,"PX_LAST",AU$5,AU$5),"")</f>
        <v>0</v>
      </c>
      <c r="AV13" s="27">
        <f>IFERROR(BDH(C13,"PX_LAST",AV$5,AV$5),"")</f>
        <v>0</v>
      </c>
      <c r="AW13" s="27">
        <f>IFERROR(BDH(C13,"PX_LAST",AW$5,AW$5),"")</f>
        <v>0</v>
      </c>
      <c r="AX13" s="27">
        <f>IFERROR(BDH(C13,"PX_LAST",AX$5,AX$5),"")</f>
        <v>0</v>
      </c>
      <c r="AY13" s="27">
        <f>IFERROR(BDH(C13,"PX_LAST",AY$5,AY$5),"")</f>
        <v>0</v>
      </c>
      <c r="AZ13" s="27">
        <f>IFERROR(BDH(C13,"PX_LAST",AZ$5,AZ$5),"")</f>
        <v>0</v>
      </c>
      <c r="BA13" s="27">
        <f>IFERROR(BDH(C13,"PX_LAST",BA$5,BA$5),"")</f>
        <v>0</v>
      </c>
      <c r="BB13" s="27">
        <f>IFERROR(BDH(C13,"PX_LAST",BB$5,BB$5),"")</f>
        <v>0</v>
      </c>
      <c r="BC13" s="27">
        <f>IFERROR(BDH(C13,"PX_LAST",BC$5,BC$5),"")</f>
        <v>0</v>
      </c>
    </row>
    <row r="14" spans="1:55" ht="20" customHeight="1">
      <c r="A14">
        <f>IFERROR(LARGE(IR!$G:$G,9),0)</f>
        <v>0</v>
      </c>
      <c r="B14">
        <f>IFERROR(MATCH(A14,IR!$G:$G,0),0)</f>
        <v>0</v>
      </c>
      <c r="C14" s="48">
        <f>IFERROR(INDEX(IR!$D:$D,B14),"")</f>
        <v>0</v>
      </c>
      <c r="D14" s="49">
        <f>IFERROR(INDEX(IR!$C:$C,B14),"")</f>
        <v>0</v>
      </c>
      <c r="E14" s="50">
        <f>IFERROR(BDP(C14,"BID_SIZE"),"")</f>
        <v>0</v>
      </c>
      <c r="F14" s="51">
        <f>IFERROR(BDP(C14,"PX_BID"),"")</f>
        <v>0</v>
      </c>
      <c r="G14" s="51">
        <f>IFERROR(BDP(C14,"PX_ASK"),"")</f>
        <v>0</v>
      </c>
      <c r="H14" s="50">
        <f>IFERROR(BDP(C14,"ASK_SIZE"),"")</f>
        <v>0</v>
      </c>
      <c r="I14" s="50">
        <f>IFERROR(BDP(C14,"VOLUME"),"")</f>
        <v>0</v>
      </c>
      <c r="J14" s="51">
        <f>IFERROR(BDP(C14,"PX_LAST"),"")</f>
        <v>0</v>
      </c>
      <c r="K14" s="49">
        <f>IFERROR(BDP(C14,"LAST_UPDATE_DT_EXCH_TZ"),"")</f>
        <v>0</v>
      </c>
      <c r="L14" s="52">
        <f>IFERROR(INDEX(IR!$B:$B,B14),"")</f>
        <v>0</v>
      </c>
      <c r="AC14" s="25">
        <f>IFERROR(AVERAGE(AG14:BC14),"")</f>
        <v>0</v>
      </c>
      <c r="AD14" s="25">
        <f>IFERROR(STDEV(AG14:BC14),"")</f>
        <v>0</v>
      </c>
      <c r="AE14" s="26">
        <f>IFERROR(IF(AD14=0,"",(J14-AC14)/AD14),"")</f>
        <v>0</v>
      </c>
      <c r="AG14" s="27">
        <f>IFERROR(BDH(C14,"PX_LAST",AG$5,AG$5),"")</f>
        <v>0</v>
      </c>
      <c r="AH14" s="27">
        <f>IFERROR(BDH(C14,"PX_LAST",AH$5,AH$5),"")</f>
        <v>0</v>
      </c>
      <c r="AI14" s="27">
        <f>IFERROR(BDH(C14,"PX_LAST",AI$5,AI$5),"")</f>
        <v>0</v>
      </c>
      <c r="AJ14" s="27">
        <f>IFERROR(BDH(C14,"PX_LAST",AJ$5,AJ$5),"")</f>
        <v>0</v>
      </c>
      <c r="AK14" s="27">
        <f>IFERROR(BDH(C14,"PX_LAST",AK$5,AK$5),"")</f>
        <v>0</v>
      </c>
      <c r="AL14" s="27">
        <f>IFERROR(BDH(C14,"PX_LAST",AL$5,AL$5),"")</f>
        <v>0</v>
      </c>
      <c r="AM14" s="27">
        <f>IFERROR(BDH(C14,"PX_LAST",AM$5,AM$5),"")</f>
        <v>0</v>
      </c>
      <c r="AN14" s="27">
        <f>IFERROR(BDH(C14,"PX_LAST",AN$5,AN$5),"")</f>
        <v>0</v>
      </c>
      <c r="AO14" s="27">
        <f>IFERROR(BDH(C14,"PX_LAST",AO$5,AO$5),"")</f>
        <v>0</v>
      </c>
      <c r="AP14" s="27">
        <f>IFERROR(BDH(C14,"PX_LAST",AP$5,AP$5),"")</f>
        <v>0</v>
      </c>
      <c r="AQ14" s="27">
        <f>IFERROR(BDH(C14,"PX_LAST",AQ$5,AQ$5),"")</f>
        <v>0</v>
      </c>
      <c r="AR14" s="27">
        <f>IFERROR(BDH(C14,"PX_LAST",AR$5,AR$5),"")</f>
        <v>0</v>
      </c>
      <c r="AS14" s="27">
        <f>IFERROR(BDH(C14,"PX_LAST",AS$5,AS$5),"")</f>
        <v>0</v>
      </c>
      <c r="AT14" s="27">
        <f>IFERROR(BDH(C14,"PX_LAST",AT$5,AT$5),"")</f>
        <v>0</v>
      </c>
      <c r="AU14" s="27">
        <f>IFERROR(BDH(C14,"PX_LAST",AU$5,AU$5),"")</f>
        <v>0</v>
      </c>
      <c r="AV14" s="27">
        <f>IFERROR(BDH(C14,"PX_LAST",AV$5,AV$5),"")</f>
        <v>0</v>
      </c>
      <c r="AW14" s="27">
        <f>IFERROR(BDH(C14,"PX_LAST",AW$5,AW$5),"")</f>
        <v>0</v>
      </c>
      <c r="AX14" s="27">
        <f>IFERROR(BDH(C14,"PX_LAST",AX$5,AX$5),"")</f>
        <v>0</v>
      </c>
      <c r="AY14" s="27">
        <f>IFERROR(BDH(C14,"PX_LAST",AY$5,AY$5),"")</f>
        <v>0</v>
      </c>
      <c r="AZ14" s="27">
        <f>IFERROR(BDH(C14,"PX_LAST",AZ$5,AZ$5),"")</f>
        <v>0</v>
      </c>
      <c r="BA14" s="27">
        <f>IFERROR(BDH(C14,"PX_LAST",BA$5,BA$5),"")</f>
        <v>0</v>
      </c>
      <c r="BB14" s="27">
        <f>IFERROR(BDH(C14,"PX_LAST",BB$5,BB$5),"")</f>
        <v>0</v>
      </c>
      <c r="BC14" s="27">
        <f>IFERROR(BDH(C14,"PX_LAST",BC$5,BC$5),"")</f>
        <v>0</v>
      </c>
    </row>
    <row r="15" spans="1:55" ht="20" customHeight="1">
      <c r="A15">
        <f>IFERROR(LARGE(IR!$G:$G,10),0)</f>
        <v>0</v>
      </c>
      <c r="B15">
        <f>IFERROR(MATCH(A15,IR!$G:$G,0),0)</f>
        <v>0</v>
      </c>
      <c r="C15" s="48">
        <f>IFERROR(INDEX(IR!$D:$D,B15),"")</f>
        <v>0</v>
      </c>
      <c r="D15" s="49">
        <f>IFERROR(INDEX(IR!$C:$C,B15),"")</f>
        <v>0</v>
      </c>
      <c r="E15" s="50">
        <f>IFERROR(BDP(C15,"BID_SIZE"),"")</f>
        <v>0</v>
      </c>
      <c r="F15" s="51">
        <f>IFERROR(BDP(C15,"PX_BID"),"")</f>
        <v>0</v>
      </c>
      <c r="G15" s="51">
        <f>IFERROR(BDP(C15,"PX_ASK"),"")</f>
        <v>0</v>
      </c>
      <c r="H15" s="50">
        <f>IFERROR(BDP(C15,"ASK_SIZE"),"")</f>
        <v>0</v>
      </c>
      <c r="I15" s="50">
        <f>IFERROR(BDP(C15,"VOLUME"),"")</f>
        <v>0</v>
      </c>
      <c r="J15" s="51">
        <f>IFERROR(BDP(C15,"PX_LAST"),"")</f>
        <v>0</v>
      </c>
      <c r="K15" s="49">
        <f>IFERROR(BDP(C15,"LAST_UPDATE_DT_EXCH_TZ"),"")</f>
        <v>0</v>
      </c>
      <c r="L15" s="52">
        <f>IFERROR(INDEX(IR!$B:$B,B15),"")</f>
        <v>0</v>
      </c>
      <c r="AC15" s="25">
        <f>IFERROR(AVERAGE(AG15:BC15),"")</f>
        <v>0</v>
      </c>
      <c r="AD15" s="25">
        <f>IFERROR(STDEV(AG15:BC15),"")</f>
        <v>0</v>
      </c>
      <c r="AE15" s="26">
        <f>IFERROR(IF(AD15=0,"",(J15-AC15)/AD15),"")</f>
        <v>0</v>
      </c>
      <c r="AG15" s="27">
        <f>IFERROR(BDH(C15,"PX_LAST",AG$5,AG$5),"")</f>
        <v>0</v>
      </c>
      <c r="AH15" s="27">
        <f>IFERROR(BDH(C15,"PX_LAST",AH$5,AH$5),"")</f>
        <v>0</v>
      </c>
      <c r="AI15" s="27">
        <f>IFERROR(BDH(C15,"PX_LAST",AI$5,AI$5),"")</f>
        <v>0</v>
      </c>
      <c r="AJ15" s="27">
        <f>IFERROR(BDH(C15,"PX_LAST",AJ$5,AJ$5),"")</f>
        <v>0</v>
      </c>
      <c r="AK15" s="27">
        <f>IFERROR(BDH(C15,"PX_LAST",AK$5,AK$5),"")</f>
        <v>0</v>
      </c>
      <c r="AL15" s="27">
        <f>IFERROR(BDH(C15,"PX_LAST",AL$5,AL$5),"")</f>
        <v>0</v>
      </c>
      <c r="AM15" s="27">
        <f>IFERROR(BDH(C15,"PX_LAST",AM$5,AM$5),"")</f>
        <v>0</v>
      </c>
      <c r="AN15" s="27">
        <f>IFERROR(BDH(C15,"PX_LAST",AN$5,AN$5),"")</f>
        <v>0</v>
      </c>
      <c r="AO15" s="27">
        <f>IFERROR(BDH(C15,"PX_LAST",AO$5,AO$5),"")</f>
        <v>0</v>
      </c>
      <c r="AP15" s="27">
        <f>IFERROR(BDH(C15,"PX_LAST",AP$5,AP$5),"")</f>
        <v>0</v>
      </c>
      <c r="AQ15" s="27">
        <f>IFERROR(BDH(C15,"PX_LAST",AQ$5,AQ$5),"")</f>
        <v>0</v>
      </c>
      <c r="AR15" s="27">
        <f>IFERROR(BDH(C15,"PX_LAST",AR$5,AR$5),"")</f>
        <v>0</v>
      </c>
      <c r="AS15" s="27">
        <f>IFERROR(BDH(C15,"PX_LAST",AS$5,AS$5),"")</f>
        <v>0</v>
      </c>
      <c r="AT15" s="27">
        <f>IFERROR(BDH(C15,"PX_LAST",AT$5,AT$5),"")</f>
        <v>0</v>
      </c>
      <c r="AU15" s="27">
        <f>IFERROR(BDH(C15,"PX_LAST",AU$5,AU$5),"")</f>
        <v>0</v>
      </c>
      <c r="AV15" s="27">
        <f>IFERROR(BDH(C15,"PX_LAST",AV$5,AV$5),"")</f>
        <v>0</v>
      </c>
      <c r="AW15" s="27">
        <f>IFERROR(BDH(C15,"PX_LAST",AW$5,AW$5),"")</f>
        <v>0</v>
      </c>
      <c r="AX15" s="27">
        <f>IFERROR(BDH(C15,"PX_LAST",AX$5,AX$5),"")</f>
        <v>0</v>
      </c>
      <c r="AY15" s="27">
        <f>IFERROR(BDH(C15,"PX_LAST",AY$5,AY$5),"")</f>
        <v>0</v>
      </c>
      <c r="AZ15" s="27">
        <f>IFERROR(BDH(C15,"PX_LAST",AZ$5,AZ$5),"")</f>
        <v>0</v>
      </c>
      <c r="BA15" s="27">
        <f>IFERROR(BDH(C15,"PX_LAST",BA$5,BA$5),"")</f>
        <v>0</v>
      </c>
      <c r="BB15" s="27">
        <f>IFERROR(BDH(C15,"PX_LAST",BB$5,BB$5),"")</f>
        <v>0</v>
      </c>
      <c r="BC15" s="27">
        <f>IFERROR(BDH(C15,"PX_LAST",BC$5,BC$5),"")</f>
        <v>0</v>
      </c>
    </row>
    <row r="16" spans="1:55" ht="20" customHeight="1">
      <c r="A16">
        <f>IFERROR(LARGE(IR!$G:$G,11),0)</f>
        <v>0</v>
      </c>
      <c r="B16">
        <f>IFERROR(MATCH(A16,IR!$G:$G,0),0)</f>
        <v>0</v>
      </c>
      <c r="C16" s="48">
        <f>IFERROR(INDEX(IR!$D:$D,B16),"")</f>
        <v>0</v>
      </c>
      <c r="D16" s="49">
        <f>IFERROR(INDEX(IR!$C:$C,B16),"")</f>
        <v>0</v>
      </c>
      <c r="E16" s="50">
        <f>IFERROR(BDP(C16,"BID_SIZE"),"")</f>
        <v>0</v>
      </c>
      <c r="F16" s="51">
        <f>IFERROR(BDP(C16,"PX_BID"),"")</f>
        <v>0</v>
      </c>
      <c r="G16" s="51">
        <f>IFERROR(BDP(C16,"PX_ASK"),"")</f>
        <v>0</v>
      </c>
      <c r="H16" s="50">
        <f>IFERROR(BDP(C16,"ASK_SIZE"),"")</f>
        <v>0</v>
      </c>
      <c r="I16" s="50">
        <f>IFERROR(BDP(C16,"VOLUME"),"")</f>
        <v>0</v>
      </c>
      <c r="J16" s="51">
        <f>IFERROR(BDP(C16,"PX_LAST"),"")</f>
        <v>0</v>
      </c>
      <c r="K16" s="49">
        <f>IFERROR(BDP(C16,"LAST_UPDATE_DT_EXCH_TZ"),"")</f>
        <v>0</v>
      </c>
      <c r="L16" s="52">
        <f>IFERROR(INDEX(IR!$B:$B,B16),"")</f>
        <v>0</v>
      </c>
      <c r="AC16" s="25">
        <f>IFERROR(AVERAGE(AG16:BC16),"")</f>
        <v>0</v>
      </c>
      <c r="AD16" s="25">
        <f>IFERROR(STDEV(AG16:BC16),"")</f>
        <v>0</v>
      </c>
      <c r="AE16" s="26">
        <f>IFERROR(IF(AD16=0,"",(J16-AC16)/AD16),"")</f>
        <v>0</v>
      </c>
      <c r="AG16" s="27">
        <f>IFERROR(BDH(C16,"PX_LAST",AG$5,AG$5),"")</f>
        <v>0</v>
      </c>
      <c r="AH16" s="27">
        <f>IFERROR(BDH(C16,"PX_LAST",AH$5,AH$5),"")</f>
        <v>0</v>
      </c>
      <c r="AI16" s="27">
        <f>IFERROR(BDH(C16,"PX_LAST",AI$5,AI$5),"")</f>
        <v>0</v>
      </c>
      <c r="AJ16" s="27">
        <f>IFERROR(BDH(C16,"PX_LAST",AJ$5,AJ$5),"")</f>
        <v>0</v>
      </c>
      <c r="AK16" s="27">
        <f>IFERROR(BDH(C16,"PX_LAST",AK$5,AK$5),"")</f>
        <v>0</v>
      </c>
      <c r="AL16" s="27">
        <f>IFERROR(BDH(C16,"PX_LAST",AL$5,AL$5),"")</f>
        <v>0</v>
      </c>
      <c r="AM16" s="27">
        <f>IFERROR(BDH(C16,"PX_LAST",AM$5,AM$5),"")</f>
        <v>0</v>
      </c>
      <c r="AN16" s="27">
        <f>IFERROR(BDH(C16,"PX_LAST",AN$5,AN$5),"")</f>
        <v>0</v>
      </c>
      <c r="AO16" s="27">
        <f>IFERROR(BDH(C16,"PX_LAST",AO$5,AO$5),"")</f>
        <v>0</v>
      </c>
      <c r="AP16" s="27">
        <f>IFERROR(BDH(C16,"PX_LAST",AP$5,AP$5),"")</f>
        <v>0</v>
      </c>
      <c r="AQ16" s="27">
        <f>IFERROR(BDH(C16,"PX_LAST",AQ$5,AQ$5),"")</f>
        <v>0</v>
      </c>
      <c r="AR16" s="27">
        <f>IFERROR(BDH(C16,"PX_LAST",AR$5,AR$5),"")</f>
        <v>0</v>
      </c>
      <c r="AS16" s="27">
        <f>IFERROR(BDH(C16,"PX_LAST",AS$5,AS$5),"")</f>
        <v>0</v>
      </c>
      <c r="AT16" s="27">
        <f>IFERROR(BDH(C16,"PX_LAST",AT$5,AT$5),"")</f>
        <v>0</v>
      </c>
      <c r="AU16" s="27">
        <f>IFERROR(BDH(C16,"PX_LAST",AU$5,AU$5),"")</f>
        <v>0</v>
      </c>
      <c r="AV16" s="27">
        <f>IFERROR(BDH(C16,"PX_LAST",AV$5,AV$5),"")</f>
        <v>0</v>
      </c>
      <c r="AW16" s="27">
        <f>IFERROR(BDH(C16,"PX_LAST",AW$5,AW$5),"")</f>
        <v>0</v>
      </c>
      <c r="AX16" s="27">
        <f>IFERROR(BDH(C16,"PX_LAST",AX$5,AX$5),"")</f>
        <v>0</v>
      </c>
      <c r="AY16" s="27">
        <f>IFERROR(BDH(C16,"PX_LAST",AY$5,AY$5),"")</f>
        <v>0</v>
      </c>
      <c r="AZ16" s="27">
        <f>IFERROR(BDH(C16,"PX_LAST",AZ$5,AZ$5),"")</f>
        <v>0</v>
      </c>
      <c r="BA16" s="27">
        <f>IFERROR(BDH(C16,"PX_LAST",BA$5,BA$5),"")</f>
        <v>0</v>
      </c>
      <c r="BB16" s="27">
        <f>IFERROR(BDH(C16,"PX_LAST",BB$5,BB$5),"")</f>
        <v>0</v>
      </c>
      <c r="BC16" s="27">
        <f>IFERROR(BDH(C16,"PX_LAST",BC$5,BC$5),"")</f>
        <v>0</v>
      </c>
    </row>
    <row r="17" spans="1:55" ht="20" customHeight="1">
      <c r="A17">
        <f>IFERROR(LARGE(IR!$G:$G,12),0)</f>
        <v>0</v>
      </c>
      <c r="B17">
        <f>IFERROR(MATCH(A17,IR!$G:$G,0),0)</f>
        <v>0</v>
      </c>
      <c r="C17" s="48">
        <f>IFERROR(INDEX(IR!$D:$D,B17),"")</f>
        <v>0</v>
      </c>
      <c r="D17" s="49">
        <f>IFERROR(INDEX(IR!$C:$C,B17),"")</f>
        <v>0</v>
      </c>
      <c r="E17" s="50">
        <f>IFERROR(BDP(C17,"BID_SIZE"),"")</f>
        <v>0</v>
      </c>
      <c r="F17" s="51">
        <f>IFERROR(BDP(C17,"PX_BID"),"")</f>
        <v>0</v>
      </c>
      <c r="G17" s="51">
        <f>IFERROR(BDP(C17,"PX_ASK"),"")</f>
        <v>0</v>
      </c>
      <c r="H17" s="50">
        <f>IFERROR(BDP(C17,"ASK_SIZE"),"")</f>
        <v>0</v>
      </c>
      <c r="I17" s="50">
        <f>IFERROR(BDP(C17,"VOLUME"),"")</f>
        <v>0</v>
      </c>
      <c r="J17" s="51">
        <f>IFERROR(BDP(C17,"PX_LAST"),"")</f>
        <v>0</v>
      </c>
      <c r="K17" s="49">
        <f>IFERROR(BDP(C17,"LAST_UPDATE_DT_EXCH_TZ"),"")</f>
        <v>0</v>
      </c>
      <c r="L17" s="52">
        <f>IFERROR(INDEX(IR!$B:$B,B17),"")</f>
        <v>0</v>
      </c>
      <c r="AC17" s="25">
        <f>IFERROR(AVERAGE(AG17:BC17),"")</f>
        <v>0</v>
      </c>
      <c r="AD17" s="25">
        <f>IFERROR(STDEV(AG17:BC17),"")</f>
        <v>0</v>
      </c>
      <c r="AE17" s="26">
        <f>IFERROR(IF(AD17=0,"",(J17-AC17)/AD17),"")</f>
        <v>0</v>
      </c>
      <c r="AG17" s="27">
        <f>IFERROR(BDH(C17,"PX_LAST",AG$5,AG$5),"")</f>
        <v>0</v>
      </c>
      <c r="AH17" s="27">
        <f>IFERROR(BDH(C17,"PX_LAST",AH$5,AH$5),"")</f>
        <v>0</v>
      </c>
      <c r="AI17" s="27">
        <f>IFERROR(BDH(C17,"PX_LAST",AI$5,AI$5),"")</f>
        <v>0</v>
      </c>
      <c r="AJ17" s="27">
        <f>IFERROR(BDH(C17,"PX_LAST",AJ$5,AJ$5),"")</f>
        <v>0</v>
      </c>
      <c r="AK17" s="27">
        <f>IFERROR(BDH(C17,"PX_LAST",AK$5,AK$5),"")</f>
        <v>0</v>
      </c>
      <c r="AL17" s="27">
        <f>IFERROR(BDH(C17,"PX_LAST",AL$5,AL$5),"")</f>
        <v>0</v>
      </c>
      <c r="AM17" s="27">
        <f>IFERROR(BDH(C17,"PX_LAST",AM$5,AM$5),"")</f>
        <v>0</v>
      </c>
      <c r="AN17" s="27">
        <f>IFERROR(BDH(C17,"PX_LAST",AN$5,AN$5),"")</f>
        <v>0</v>
      </c>
      <c r="AO17" s="27">
        <f>IFERROR(BDH(C17,"PX_LAST",AO$5,AO$5),"")</f>
        <v>0</v>
      </c>
      <c r="AP17" s="27">
        <f>IFERROR(BDH(C17,"PX_LAST",AP$5,AP$5),"")</f>
        <v>0</v>
      </c>
      <c r="AQ17" s="27">
        <f>IFERROR(BDH(C17,"PX_LAST",AQ$5,AQ$5),"")</f>
        <v>0</v>
      </c>
      <c r="AR17" s="27">
        <f>IFERROR(BDH(C17,"PX_LAST",AR$5,AR$5),"")</f>
        <v>0</v>
      </c>
      <c r="AS17" s="27">
        <f>IFERROR(BDH(C17,"PX_LAST",AS$5,AS$5),"")</f>
        <v>0</v>
      </c>
      <c r="AT17" s="27">
        <f>IFERROR(BDH(C17,"PX_LAST",AT$5,AT$5),"")</f>
        <v>0</v>
      </c>
      <c r="AU17" s="27">
        <f>IFERROR(BDH(C17,"PX_LAST",AU$5,AU$5),"")</f>
        <v>0</v>
      </c>
      <c r="AV17" s="27">
        <f>IFERROR(BDH(C17,"PX_LAST",AV$5,AV$5),"")</f>
        <v>0</v>
      </c>
      <c r="AW17" s="27">
        <f>IFERROR(BDH(C17,"PX_LAST",AW$5,AW$5),"")</f>
        <v>0</v>
      </c>
      <c r="AX17" s="27">
        <f>IFERROR(BDH(C17,"PX_LAST",AX$5,AX$5),"")</f>
        <v>0</v>
      </c>
      <c r="AY17" s="27">
        <f>IFERROR(BDH(C17,"PX_LAST",AY$5,AY$5),"")</f>
        <v>0</v>
      </c>
      <c r="AZ17" s="27">
        <f>IFERROR(BDH(C17,"PX_LAST",AZ$5,AZ$5),"")</f>
        <v>0</v>
      </c>
      <c r="BA17" s="27">
        <f>IFERROR(BDH(C17,"PX_LAST",BA$5,BA$5),"")</f>
        <v>0</v>
      </c>
      <c r="BB17" s="27">
        <f>IFERROR(BDH(C17,"PX_LAST",BB$5,BB$5),"")</f>
        <v>0</v>
      </c>
      <c r="BC17" s="27">
        <f>IFERROR(BDH(C17,"PX_LAST",BC$5,BC$5),"")</f>
        <v>0</v>
      </c>
    </row>
    <row r="18" spans="1:55" ht="20" customHeight="1">
      <c r="A18">
        <f>IFERROR(LARGE(IR!$G:$G,13),0)</f>
        <v>0</v>
      </c>
      <c r="B18">
        <f>IFERROR(MATCH(A18,IR!$G:$G,0),0)</f>
        <v>0</v>
      </c>
      <c r="C18" s="48">
        <f>IFERROR(INDEX(IR!$D:$D,B18),"")</f>
        <v>0</v>
      </c>
      <c r="D18" s="49">
        <f>IFERROR(INDEX(IR!$C:$C,B18),"")</f>
        <v>0</v>
      </c>
      <c r="E18" s="50">
        <f>IFERROR(BDP(C18,"BID_SIZE"),"")</f>
        <v>0</v>
      </c>
      <c r="F18" s="51">
        <f>IFERROR(BDP(C18,"PX_BID"),"")</f>
        <v>0</v>
      </c>
      <c r="G18" s="51">
        <f>IFERROR(BDP(C18,"PX_ASK"),"")</f>
        <v>0</v>
      </c>
      <c r="H18" s="50">
        <f>IFERROR(BDP(C18,"ASK_SIZE"),"")</f>
        <v>0</v>
      </c>
      <c r="I18" s="50">
        <f>IFERROR(BDP(C18,"VOLUME"),"")</f>
        <v>0</v>
      </c>
      <c r="J18" s="51">
        <f>IFERROR(BDP(C18,"PX_LAST"),"")</f>
        <v>0</v>
      </c>
      <c r="K18" s="49">
        <f>IFERROR(BDP(C18,"LAST_UPDATE_DT_EXCH_TZ"),"")</f>
        <v>0</v>
      </c>
      <c r="L18" s="52">
        <f>IFERROR(INDEX(IR!$B:$B,B18),"")</f>
        <v>0</v>
      </c>
      <c r="AC18" s="25">
        <f>IFERROR(AVERAGE(AG18:BC18),"")</f>
        <v>0</v>
      </c>
      <c r="AD18" s="25">
        <f>IFERROR(STDEV(AG18:BC18),"")</f>
        <v>0</v>
      </c>
      <c r="AE18" s="26">
        <f>IFERROR(IF(AD18=0,"",(J18-AC18)/AD18),"")</f>
        <v>0</v>
      </c>
      <c r="AG18" s="27">
        <f>IFERROR(BDH(C18,"PX_LAST",AG$5,AG$5),"")</f>
        <v>0</v>
      </c>
      <c r="AH18" s="27">
        <f>IFERROR(BDH(C18,"PX_LAST",AH$5,AH$5),"")</f>
        <v>0</v>
      </c>
      <c r="AI18" s="27">
        <f>IFERROR(BDH(C18,"PX_LAST",AI$5,AI$5),"")</f>
        <v>0</v>
      </c>
      <c r="AJ18" s="27">
        <f>IFERROR(BDH(C18,"PX_LAST",AJ$5,AJ$5),"")</f>
        <v>0</v>
      </c>
      <c r="AK18" s="27">
        <f>IFERROR(BDH(C18,"PX_LAST",AK$5,AK$5),"")</f>
        <v>0</v>
      </c>
      <c r="AL18" s="27">
        <f>IFERROR(BDH(C18,"PX_LAST",AL$5,AL$5),"")</f>
        <v>0</v>
      </c>
      <c r="AM18" s="27">
        <f>IFERROR(BDH(C18,"PX_LAST",AM$5,AM$5),"")</f>
        <v>0</v>
      </c>
      <c r="AN18" s="27">
        <f>IFERROR(BDH(C18,"PX_LAST",AN$5,AN$5),"")</f>
        <v>0</v>
      </c>
      <c r="AO18" s="27">
        <f>IFERROR(BDH(C18,"PX_LAST",AO$5,AO$5),"")</f>
        <v>0</v>
      </c>
      <c r="AP18" s="27">
        <f>IFERROR(BDH(C18,"PX_LAST",AP$5,AP$5),"")</f>
        <v>0</v>
      </c>
      <c r="AQ18" s="27">
        <f>IFERROR(BDH(C18,"PX_LAST",AQ$5,AQ$5),"")</f>
        <v>0</v>
      </c>
      <c r="AR18" s="27">
        <f>IFERROR(BDH(C18,"PX_LAST",AR$5,AR$5),"")</f>
        <v>0</v>
      </c>
      <c r="AS18" s="27">
        <f>IFERROR(BDH(C18,"PX_LAST",AS$5,AS$5),"")</f>
        <v>0</v>
      </c>
      <c r="AT18" s="27">
        <f>IFERROR(BDH(C18,"PX_LAST",AT$5,AT$5),"")</f>
        <v>0</v>
      </c>
      <c r="AU18" s="27">
        <f>IFERROR(BDH(C18,"PX_LAST",AU$5,AU$5),"")</f>
        <v>0</v>
      </c>
      <c r="AV18" s="27">
        <f>IFERROR(BDH(C18,"PX_LAST",AV$5,AV$5),"")</f>
        <v>0</v>
      </c>
      <c r="AW18" s="27">
        <f>IFERROR(BDH(C18,"PX_LAST",AW$5,AW$5),"")</f>
        <v>0</v>
      </c>
      <c r="AX18" s="27">
        <f>IFERROR(BDH(C18,"PX_LAST",AX$5,AX$5),"")</f>
        <v>0</v>
      </c>
      <c r="AY18" s="27">
        <f>IFERROR(BDH(C18,"PX_LAST",AY$5,AY$5),"")</f>
        <v>0</v>
      </c>
      <c r="AZ18" s="27">
        <f>IFERROR(BDH(C18,"PX_LAST",AZ$5,AZ$5),"")</f>
        <v>0</v>
      </c>
      <c r="BA18" s="27">
        <f>IFERROR(BDH(C18,"PX_LAST",BA$5,BA$5),"")</f>
        <v>0</v>
      </c>
      <c r="BB18" s="27">
        <f>IFERROR(BDH(C18,"PX_LAST",BB$5,BB$5),"")</f>
        <v>0</v>
      </c>
      <c r="BC18" s="27">
        <f>IFERROR(BDH(C18,"PX_LAST",BC$5,BC$5),"")</f>
        <v>0</v>
      </c>
    </row>
    <row r="19" spans="1:55" ht="20" customHeight="1">
      <c r="A19">
        <f>IFERROR(LARGE(IR!$G:$G,14),0)</f>
        <v>0</v>
      </c>
      <c r="B19">
        <f>IFERROR(MATCH(A19,IR!$G:$G,0),0)</f>
        <v>0</v>
      </c>
      <c r="C19" s="48">
        <f>IFERROR(INDEX(IR!$D:$D,B19),"")</f>
        <v>0</v>
      </c>
      <c r="D19" s="49">
        <f>IFERROR(INDEX(IR!$C:$C,B19),"")</f>
        <v>0</v>
      </c>
      <c r="E19" s="50">
        <f>IFERROR(BDP(C19,"BID_SIZE"),"")</f>
        <v>0</v>
      </c>
      <c r="F19" s="51">
        <f>IFERROR(BDP(C19,"PX_BID"),"")</f>
        <v>0</v>
      </c>
      <c r="G19" s="51">
        <f>IFERROR(BDP(C19,"PX_ASK"),"")</f>
        <v>0</v>
      </c>
      <c r="H19" s="50">
        <f>IFERROR(BDP(C19,"ASK_SIZE"),"")</f>
        <v>0</v>
      </c>
      <c r="I19" s="50">
        <f>IFERROR(BDP(C19,"VOLUME"),"")</f>
        <v>0</v>
      </c>
      <c r="J19" s="51">
        <f>IFERROR(BDP(C19,"PX_LAST"),"")</f>
        <v>0</v>
      </c>
      <c r="K19" s="49">
        <f>IFERROR(BDP(C19,"LAST_UPDATE_DT_EXCH_TZ"),"")</f>
        <v>0</v>
      </c>
      <c r="L19" s="52">
        <f>IFERROR(INDEX(IR!$B:$B,B19),"")</f>
        <v>0</v>
      </c>
      <c r="AC19" s="25">
        <f>IFERROR(AVERAGE(AG19:BC19),"")</f>
        <v>0</v>
      </c>
      <c r="AD19" s="25">
        <f>IFERROR(STDEV(AG19:BC19),"")</f>
        <v>0</v>
      </c>
      <c r="AE19" s="26">
        <f>IFERROR(IF(AD19=0,"",(J19-AC19)/AD19),"")</f>
        <v>0</v>
      </c>
      <c r="AG19" s="27">
        <f>IFERROR(BDH(C19,"PX_LAST",AG$5,AG$5),"")</f>
        <v>0</v>
      </c>
      <c r="AH19" s="27">
        <f>IFERROR(BDH(C19,"PX_LAST",AH$5,AH$5),"")</f>
        <v>0</v>
      </c>
      <c r="AI19" s="27">
        <f>IFERROR(BDH(C19,"PX_LAST",AI$5,AI$5),"")</f>
        <v>0</v>
      </c>
      <c r="AJ19" s="27">
        <f>IFERROR(BDH(C19,"PX_LAST",AJ$5,AJ$5),"")</f>
        <v>0</v>
      </c>
      <c r="AK19" s="27">
        <f>IFERROR(BDH(C19,"PX_LAST",AK$5,AK$5),"")</f>
        <v>0</v>
      </c>
      <c r="AL19" s="27">
        <f>IFERROR(BDH(C19,"PX_LAST",AL$5,AL$5),"")</f>
        <v>0</v>
      </c>
      <c r="AM19" s="27">
        <f>IFERROR(BDH(C19,"PX_LAST",AM$5,AM$5),"")</f>
        <v>0</v>
      </c>
      <c r="AN19" s="27">
        <f>IFERROR(BDH(C19,"PX_LAST",AN$5,AN$5),"")</f>
        <v>0</v>
      </c>
      <c r="AO19" s="27">
        <f>IFERROR(BDH(C19,"PX_LAST",AO$5,AO$5),"")</f>
        <v>0</v>
      </c>
      <c r="AP19" s="27">
        <f>IFERROR(BDH(C19,"PX_LAST",AP$5,AP$5),"")</f>
        <v>0</v>
      </c>
      <c r="AQ19" s="27">
        <f>IFERROR(BDH(C19,"PX_LAST",AQ$5,AQ$5),"")</f>
        <v>0</v>
      </c>
      <c r="AR19" s="27">
        <f>IFERROR(BDH(C19,"PX_LAST",AR$5,AR$5),"")</f>
        <v>0</v>
      </c>
      <c r="AS19" s="27">
        <f>IFERROR(BDH(C19,"PX_LAST",AS$5,AS$5),"")</f>
        <v>0</v>
      </c>
      <c r="AT19" s="27">
        <f>IFERROR(BDH(C19,"PX_LAST",AT$5,AT$5),"")</f>
        <v>0</v>
      </c>
      <c r="AU19" s="27">
        <f>IFERROR(BDH(C19,"PX_LAST",AU$5,AU$5),"")</f>
        <v>0</v>
      </c>
      <c r="AV19" s="27">
        <f>IFERROR(BDH(C19,"PX_LAST",AV$5,AV$5),"")</f>
        <v>0</v>
      </c>
      <c r="AW19" s="27">
        <f>IFERROR(BDH(C19,"PX_LAST",AW$5,AW$5),"")</f>
        <v>0</v>
      </c>
      <c r="AX19" s="27">
        <f>IFERROR(BDH(C19,"PX_LAST",AX$5,AX$5),"")</f>
        <v>0</v>
      </c>
      <c r="AY19" s="27">
        <f>IFERROR(BDH(C19,"PX_LAST",AY$5,AY$5),"")</f>
        <v>0</v>
      </c>
      <c r="AZ19" s="27">
        <f>IFERROR(BDH(C19,"PX_LAST",AZ$5,AZ$5),"")</f>
        <v>0</v>
      </c>
      <c r="BA19" s="27">
        <f>IFERROR(BDH(C19,"PX_LAST",BA$5,BA$5),"")</f>
        <v>0</v>
      </c>
      <c r="BB19" s="27">
        <f>IFERROR(BDH(C19,"PX_LAST",BB$5,BB$5),"")</f>
        <v>0</v>
      </c>
      <c r="BC19" s="27">
        <f>IFERROR(BDH(C19,"PX_LAST",BC$5,BC$5),"")</f>
        <v>0</v>
      </c>
    </row>
    <row r="20" spans="1:55" ht="20" customHeight="1">
      <c r="A20">
        <f>IFERROR(LARGE(IR!$G:$G,15),0)</f>
        <v>0</v>
      </c>
      <c r="B20">
        <f>IFERROR(MATCH(A20,IR!$G:$G,0),0)</f>
        <v>0</v>
      </c>
      <c r="C20" s="48">
        <f>IFERROR(INDEX(IR!$D:$D,B20),"")</f>
        <v>0</v>
      </c>
      <c r="D20" s="49">
        <f>IFERROR(INDEX(IR!$C:$C,B20),"")</f>
        <v>0</v>
      </c>
      <c r="E20" s="50">
        <f>IFERROR(BDP(C20,"BID_SIZE"),"")</f>
        <v>0</v>
      </c>
      <c r="F20" s="51">
        <f>IFERROR(BDP(C20,"PX_BID"),"")</f>
        <v>0</v>
      </c>
      <c r="G20" s="51">
        <f>IFERROR(BDP(C20,"PX_ASK"),"")</f>
        <v>0</v>
      </c>
      <c r="H20" s="50">
        <f>IFERROR(BDP(C20,"ASK_SIZE"),"")</f>
        <v>0</v>
      </c>
      <c r="I20" s="50">
        <f>IFERROR(BDP(C20,"VOLUME"),"")</f>
        <v>0</v>
      </c>
      <c r="J20" s="51">
        <f>IFERROR(BDP(C20,"PX_LAST"),"")</f>
        <v>0</v>
      </c>
      <c r="K20" s="49">
        <f>IFERROR(BDP(C20,"LAST_UPDATE_DT_EXCH_TZ"),"")</f>
        <v>0</v>
      </c>
      <c r="L20" s="52">
        <f>IFERROR(INDEX(IR!$B:$B,B20),"")</f>
        <v>0</v>
      </c>
      <c r="AC20" s="25">
        <f>IFERROR(AVERAGE(AG20:BC20),"")</f>
        <v>0</v>
      </c>
      <c r="AD20" s="25">
        <f>IFERROR(STDEV(AG20:BC20),"")</f>
        <v>0</v>
      </c>
      <c r="AE20" s="26">
        <f>IFERROR(IF(AD20=0,"",(J20-AC20)/AD20),"")</f>
        <v>0</v>
      </c>
      <c r="AG20" s="27">
        <f>IFERROR(BDH(C20,"PX_LAST",AG$5,AG$5),"")</f>
        <v>0</v>
      </c>
      <c r="AH20" s="27">
        <f>IFERROR(BDH(C20,"PX_LAST",AH$5,AH$5),"")</f>
        <v>0</v>
      </c>
      <c r="AI20" s="27">
        <f>IFERROR(BDH(C20,"PX_LAST",AI$5,AI$5),"")</f>
        <v>0</v>
      </c>
      <c r="AJ20" s="27">
        <f>IFERROR(BDH(C20,"PX_LAST",AJ$5,AJ$5),"")</f>
        <v>0</v>
      </c>
      <c r="AK20" s="27">
        <f>IFERROR(BDH(C20,"PX_LAST",AK$5,AK$5),"")</f>
        <v>0</v>
      </c>
      <c r="AL20" s="27">
        <f>IFERROR(BDH(C20,"PX_LAST",AL$5,AL$5),"")</f>
        <v>0</v>
      </c>
      <c r="AM20" s="27">
        <f>IFERROR(BDH(C20,"PX_LAST",AM$5,AM$5),"")</f>
        <v>0</v>
      </c>
      <c r="AN20" s="27">
        <f>IFERROR(BDH(C20,"PX_LAST",AN$5,AN$5),"")</f>
        <v>0</v>
      </c>
      <c r="AO20" s="27">
        <f>IFERROR(BDH(C20,"PX_LAST",AO$5,AO$5),"")</f>
        <v>0</v>
      </c>
      <c r="AP20" s="27">
        <f>IFERROR(BDH(C20,"PX_LAST",AP$5,AP$5),"")</f>
        <v>0</v>
      </c>
      <c r="AQ20" s="27">
        <f>IFERROR(BDH(C20,"PX_LAST",AQ$5,AQ$5),"")</f>
        <v>0</v>
      </c>
      <c r="AR20" s="27">
        <f>IFERROR(BDH(C20,"PX_LAST",AR$5,AR$5),"")</f>
        <v>0</v>
      </c>
      <c r="AS20" s="27">
        <f>IFERROR(BDH(C20,"PX_LAST",AS$5,AS$5),"")</f>
        <v>0</v>
      </c>
      <c r="AT20" s="27">
        <f>IFERROR(BDH(C20,"PX_LAST",AT$5,AT$5),"")</f>
        <v>0</v>
      </c>
      <c r="AU20" s="27">
        <f>IFERROR(BDH(C20,"PX_LAST",AU$5,AU$5),"")</f>
        <v>0</v>
      </c>
      <c r="AV20" s="27">
        <f>IFERROR(BDH(C20,"PX_LAST",AV$5,AV$5),"")</f>
        <v>0</v>
      </c>
      <c r="AW20" s="27">
        <f>IFERROR(BDH(C20,"PX_LAST",AW$5,AW$5),"")</f>
        <v>0</v>
      </c>
      <c r="AX20" s="27">
        <f>IFERROR(BDH(C20,"PX_LAST",AX$5,AX$5),"")</f>
        <v>0</v>
      </c>
      <c r="AY20" s="27">
        <f>IFERROR(BDH(C20,"PX_LAST",AY$5,AY$5),"")</f>
        <v>0</v>
      </c>
      <c r="AZ20" s="27">
        <f>IFERROR(BDH(C20,"PX_LAST",AZ$5,AZ$5),"")</f>
        <v>0</v>
      </c>
      <c r="BA20" s="27">
        <f>IFERROR(BDH(C20,"PX_LAST",BA$5,BA$5),"")</f>
        <v>0</v>
      </c>
      <c r="BB20" s="27">
        <f>IFERROR(BDH(C20,"PX_LAST",BB$5,BB$5),"")</f>
        <v>0</v>
      </c>
      <c r="BC20" s="27">
        <f>IFERROR(BDH(C20,"PX_LAST",BC$5,BC$5),"")</f>
        <v>0</v>
      </c>
    </row>
    <row r="22" spans="1:55">
      <c r="C22" s="28" t="s">
        <v>1570</v>
      </c>
    </row>
  </sheetData>
  <mergeCells count="1">
    <mergeCell ref="A1:B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Top15'!AG20:BC20</xm:f>
              <xm:sqref>AF20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Top15'!AG19:BC19</xm:f>
              <xm:sqref>AF19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Top15'!AG18:BC18</xm:f>
              <xm:sqref>AF18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Top15'!AG17:BC17</xm:f>
              <xm:sqref>AF17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Top15'!AG16:BC16</xm:f>
              <xm:sqref>AF16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Top15'!AG15:BC15</xm:f>
              <xm:sqref>AF15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Top15'!AG14:BC14</xm:f>
              <xm:sqref>AF14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Top15'!AG13:BC13</xm:f>
              <xm:sqref>AF13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Top15'!AG12:BC12</xm:f>
              <xm:sqref>AF12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Top15'!AG11:BC11</xm:f>
              <xm:sqref>AF11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Top15'!AG10:BC10</xm:f>
              <xm:sqref>AF10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Top15'!AG9:BC9</xm:f>
              <xm:sqref>AF9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Top15'!AG8:BC8</xm:f>
              <xm:sqref>AF8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Top15'!AG7:BC7</xm:f>
              <xm:sqref>AF7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Top15'!AG6:BC6</xm:f>
              <xm:sqref>AF6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dimension ref="A1:BC22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2" width="0" customWidth="1"/>
    <col min="3" max="3" width="24.7109375" customWidth="1"/>
    <col min="4" max="4" width="38.7109375" customWidth="1"/>
    <col min="5" max="5" width="10.7109375" customWidth="1"/>
    <col min="6" max="7" width="9.7109375" customWidth="1"/>
    <col min="8" max="8" width="10.7109375" customWidth="1"/>
    <col min="9" max="9" width="12.7109375" customWidth="1"/>
    <col min="10" max="10" width="11.7109375" customWidth="1"/>
    <col min="11" max="11" width="26.7109375" customWidth="1"/>
    <col min="12" max="12" width="14.7109375" customWidth="1"/>
    <col min="29" max="30" width="11.7109375" customWidth="1"/>
    <col min="31" max="31" width="10.7109375" customWidth="1"/>
    <col min="32" max="32" width="18.7109375" customWidth="1"/>
    <col min="33" max="55" width="7.7109375" customWidth="1"/>
  </cols>
  <sheetData>
    <row r="1" spans="1:55" ht="26" customHeight="1">
      <c r="A1" s="53" t="s">
        <v>1571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</row>
    <row r="2" spans="1:55" ht="5" customHeight="1"/>
    <row r="3" spans="1:55" ht="5" customHeight="1"/>
    <row r="4" spans="1:55" ht="5" customHeight="1"/>
    <row r="5" spans="1:55" ht="30" customHeight="1">
      <c r="C5" s="54" t="s">
        <v>1550</v>
      </c>
      <c r="D5" s="54" t="s">
        <v>2</v>
      </c>
      <c r="E5" s="54" t="s">
        <v>1551</v>
      </c>
      <c r="F5" s="54" t="s">
        <v>7</v>
      </c>
      <c r="G5" s="54" t="s">
        <v>8</v>
      </c>
      <c r="H5" s="54" t="s">
        <v>1552</v>
      </c>
      <c r="I5" s="54" t="s">
        <v>1553</v>
      </c>
      <c r="J5" s="54" t="s">
        <v>1554</v>
      </c>
      <c r="K5" s="54" t="s">
        <v>1555</v>
      </c>
      <c r="L5" s="54" t="s">
        <v>1556</v>
      </c>
      <c r="AC5" s="55" t="s">
        <v>1557</v>
      </c>
      <c r="AD5" s="55" t="s">
        <v>1558</v>
      </c>
      <c r="AE5" s="55" t="s">
        <v>1559</v>
      </c>
      <c r="AF5" s="55" t="s">
        <v>1572</v>
      </c>
      <c r="AG5" s="19">
        <f>WORKDAY(TODAY(),-23)</f>
        <v>0</v>
      </c>
      <c r="AH5" s="19">
        <f>WORKDAY(TODAY(),-22)</f>
        <v>0</v>
      </c>
      <c r="AI5" s="19">
        <f>WORKDAY(TODAY(),-21)</f>
        <v>0</v>
      </c>
      <c r="AJ5" s="19">
        <f>WORKDAY(TODAY(),-20)</f>
        <v>0</v>
      </c>
      <c r="AK5" s="19">
        <f>WORKDAY(TODAY(),-19)</f>
        <v>0</v>
      </c>
      <c r="AL5" s="19">
        <f>WORKDAY(TODAY(),-18)</f>
        <v>0</v>
      </c>
      <c r="AM5" s="19">
        <f>WORKDAY(TODAY(),-17)</f>
        <v>0</v>
      </c>
      <c r="AN5" s="19">
        <f>WORKDAY(TODAY(),-16)</f>
        <v>0</v>
      </c>
      <c r="AO5" s="19">
        <f>WORKDAY(TODAY(),-15)</f>
        <v>0</v>
      </c>
      <c r="AP5" s="19">
        <f>WORKDAY(TODAY(),-14)</f>
        <v>0</v>
      </c>
      <c r="AQ5" s="19">
        <f>WORKDAY(TODAY(),-13)</f>
        <v>0</v>
      </c>
      <c r="AR5" s="19">
        <f>WORKDAY(TODAY(),-12)</f>
        <v>0</v>
      </c>
      <c r="AS5" s="19">
        <f>WORKDAY(TODAY(),-11)</f>
        <v>0</v>
      </c>
      <c r="AT5" s="19">
        <f>WORKDAY(TODAY(),-10)</f>
        <v>0</v>
      </c>
      <c r="AU5" s="19">
        <f>WORKDAY(TODAY(),-9)</f>
        <v>0</v>
      </c>
      <c r="AV5" s="19">
        <f>WORKDAY(TODAY(),-8)</f>
        <v>0</v>
      </c>
      <c r="AW5" s="19">
        <f>WORKDAY(TODAY(),-7)</f>
        <v>0</v>
      </c>
      <c r="AX5" s="19">
        <f>WORKDAY(TODAY(),-6)</f>
        <v>0</v>
      </c>
      <c r="AY5" s="19">
        <f>WORKDAY(TODAY(),-5)</f>
        <v>0</v>
      </c>
      <c r="AZ5" s="19">
        <f>WORKDAY(TODAY(),-4)</f>
        <v>0</v>
      </c>
      <c r="BA5" s="19">
        <f>WORKDAY(TODAY(),-3)</f>
        <v>0</v>
      </c>
      <c r="BB5" s="19">
        <f>WORKDAY(TODAY(),-2)</f>
        <v>0</v>
      </c>
      <c r="BC5" s="19">
        <f>WORKDAY(TODAY(),-1)</f>
        <v>0</v>
      </c>
    </row>
    <row r="6" spans="1:55" ht="20" customHeight="1">
      <c r="A6">
        <f>IFERROR(LARGE(COR!$G:$G,1),0)</f>
        <v>0</v>
      </c>
      <c r="B6">
        <f>IFERROR(MATCH(A6,COR!$G:$G,0),0)</f>
        <v>0</v>
      </c>
      <c r="C6" s="56">
        <f>IFERROR(INDEX(COR!$D:$D,B6),"")</f>
        <v>0</v>
      </c>
      <c r="D6" s="57">
        <f>IFERROR(INDEX(COR!$C:$C,B6),"")</f>
        <v>0</v>
      </c>
      <c r="E6" s="58">
        <f>IFERROR(BDP(C6,"BID_SIZE"),"")</f>
        <v>0</v>
      </c>
      <c r="F6" s="59">
        <f>IFERROR(BDP(C6,"PX_BID"),"")</f>
        <v>0</v>
      </c>
      <c r="G6" s="59">
        <f>IFERROR(BDP(C6,"PX_ASK"),"")</f>
        <v>0</v>
      </c>
      <c r="H6" s="58">
        <f>IFERROR(BDP(C6,"ASK_SIZE"),"")</f>
        <v>0</v>
      </c>
      <c r="I6" s="58">
        <f>IFERROR(BDP(C6,"VOLUME"),"")</f>
        <v>0</v>
      </c>
      <c r="J6" s="59">
        <f>IFERROR(BDP(C6,"PX_LAST"),"")</f>
        <v>0</v>
      </c>
      <c r="K6" s="57">
        <f>IFERROR(BDP(C6,"LAST_UPDATE_DT_EXCH_TZ"),"")</f>
        <v>0</v>
      </c>
      <c r="L6" s="60">
        <f>IFERROR(INDEX(COR!$B:$B,B6),"")</f>
        <v>0</v>
      </c>
      <c r="AC6" s="25">
        <f>IFERROR(AVERAGE(AG6:BC6),"")</f>
        <v>0</v>
      </c>
      <c r="AD6" s="25">
        <f>IFERROR(STDEV(AG6:BC6),"")</f>
        <v>0</v>
      </c>
      <c r="AE6" s="26">
        <f>IFERROR(IF(AD6=0,"",(J6-AC6)/AD6),"")</f>
        <v>0</v>
      </c>
      <c r="AG6" s="27">
        <f>IFERROR(BDH(C6,"PX_LAST",AG$5,AG$5),"")</f>
        <v>0</v>
      </c>
      <c r="AH6" s="27">
        <f>IFERROR(BDH(C6,"PX_LAST",AH$5,AH$5),"")</f>
        <v>0</v>
      </c>
      <c r="AI6" s="27">
        <f>IFERROR(BDH(C6,"PX_LAST",AI$5,AI$5),"")</f>
        <v>0</v>
      </c>
      <c r="AJ6" s="27">
        <f>IFERROR(BDH(C6,"PX_LAST",AJ$5,AJ$5),"")</f>
        <v>0</v>
      </c>
      <c r="AK6" s="27">
        <f>IFERROR(BDH(C6,"PX_LAST",AK$5,AK$5),"")</f>
        <v>0</v>
      </c>
      <c r="AL6" s="27">
        <f>IFERROR(BDH(C6,"PX_LAST",AL$5,AL$5),"")</f>
        <v>0</v>
      </c>
      <c r="AM6" s="27">
        <f>IFERROR(BDH(C6,"PX_LAST",AM$5,AM$5),"")</f>
        <v>0</v>
      </c>
      <c r="AN6" s="27">
        <f>IFERROR(BDH(C6,"PX_LAST",AN$5,AN$5),"")</f>
        <v>0</v>
      </c>
      <c r="AO6" s="27">
        <f>IFERROR(BDH(C6,"PX_LAST",AO$5,AO$5),"")</f>
        <v>0</v>
      </c>
      <c r="AP6" s="27">
        <f>IFERROR(BDH(C6,"PX_LAST",AP$5,AP$5),"")</f>
        <v>0</v>
      </c>
      <c r="AQ6" s="27">
        <f>IFERROR(BDH(C6,"PX_LAST",AQ$5,AQ$5),"")</f>
        <v>0</v>
      </c>
      <c r="AR6" s="27">
        <f>IFERROR(BDH(C6,"PX_LAST",AR$5,AR$5),"")</f>
        <v>0</v>
      </c>
      <c r="AS6" s="27">
        <f>IFERROR(BDH(C6,"PX_LAST",AS$5,AS$5),"")</f>
        <v>0</v>
      </c>
      <c r="AT6" s="27">
        <f>IFERROR(BDH(C6,"PX_LAST",AT$5,AT$5),"")</f>
        <v>0</v>
      </c>
      <c r="AU6" s="27">
        <f>IFERROR(BDH(C6,"PX_LAST",AU$5,AU$5),"")</f>
        <v>0</v>
      </c>
      <c r="AV6" s="27">
        <f>IFERROR(BDH(C6,"PX_LAST",AV$5,AV$5),"")</f>
        <v>0</v>
      </c>
      <c r="AW6" s="27">
        <f>IFERROR(BDH(C6,"PX_LAST",AW$5,AW$5),"")</f>
        <v>0</v>
      </c>
      <c r="AX6" s="27">
        <f>IFERROR(BDH(C6,"PX_LAST",AX$5,AX$5),"")</f>
        <v>0</v>
      </c>
      <c r="AY6" s="27">
        <f>IFERROR(BDH(C6,"PX_LAST",AY$5,AY$5),"")</f>
        <v>0</v>
      </c>
      <c r="AZ6" s="27">
        <f>IFERROR(BDH(C6,"PX_LAST",AZ$5,AZ$5),"")</f>
        <v>0</v>
      </c>
      <c r="BA6" s="27">
        <f>IFERROR(BDH(C6,"PX_LAST",BA$5,BA$5),"")</f>
        <v>0</v>
      </c>
      <c r="BB6" s="27">
        <f>IFERROR(BDH(C6,"PX_LAST",BB$5,BB$5),"")</f>
        <v>0</v>
      </c>
      <c r="BC6" s="27">
        <f>IFERROR(BDH(C6,"PX_LAST",BC$5,BC$5),"")</f>
        <v>0</v>
      </c>
    </row>
    <row r="7" spans="1:55" ht="20" customHeight="1">
      <c r="A7">
        <f>IFERROR(LARGE(COR!$G:$G,2),0)</f>
        <v>0</v>
      </c>
      <c r="B7">
        <f>IFERROR(MATCH(A7,COR!$G:$G,0),0)</f>
        <v>0</v>
      </c>
      <c r="C7" s="56">
        <f>IFERROR(INDEX(COR!$D:$D,B7),"")</f>
        <v>0</v>
      </c>
      <c r="D7" s="57">
        <f>IFERROR(INDEX(COR!$C:$C,B7),"")</f>
        <v>0</v>
      </c>
      <c r="E7" s="58">
        <f>IFERROR(BDP(C7,"BID_SIZE"),"")</f>
        <v>0</v>
      </c>
      <c r="F7" s="59">
        <f>IFERROR(BDP(C7,"PX_BID"),"")</f>
        <v>0</v>
      </c>
      <c r="G7" s="59">
        <f>IFERROR(BDP(C7,"PX_ASK"),"")</f>
        <v>0</v>
      </c>
      <c r="H7" s="58">
        <f>IFERROR(BDP(C7,"ASK_SIZE"),"")</f>
        <v>0</v>
      </c>
      <c r="I7" s="58">
        <f>IFERROR(BDP(C7,"VOLUME"),"")</f>
        <v>0</v>
      </c>
      <c r="J7" s="59">
        <f>IFERROR(BDP(C7,"PX_LAST"),"")</f>
        <v>0</v>
      </c>
      <c r="K7" s="57">
        <f>IFERROR(BDP(C7,"LAST_UPDATE_DT_EXCH_TZ"),"")</f>
        <v>0</v>
      </c>
      <c r="L7" s="60">
        <f>IFERROR(INDEX(COR!$B:$B,B7),"")</f>
        <v>0</v>
      </c>
      <c r="AC7" s="25">
        <f>IFERROR(AVERAGE(AG7:BC7),"")</f>
        <v>0</v>
      </c>
      <c r="AD7" s="25">
        <f>IFERROR(STDEV(AG7:BC7),"")</f>
        <v>0</v>
      </c>
      <c r="AE7" s="26">
        <f>IFERROR(IF(AD7=0,"",(J7-AC7)/AD7),"")</f>
        <v>0</v>
      </c>
      <c r="AG7" s="27">
        <f>IFERROR(BDH(C7,"PX_LAST",AG$5,AG$5),"")</f>
        <v>0</v>
      </c>
      <c r="AH7" s="27">
        <f>IFERROR(BDH(C7,"PX_LAST",AH$5,AH$5),"")</f>
        <v>0</v>
      </c>
      <c r="AI7" s="27">
        <f>IFERROR(BDH(C7,"PX_LAST",AI$5,AI$5),"")</f>
        <v>0</v>
      </c>
      <c r="AJ7" s="27">
        <f>IFERROR(BDH(C7,"PX_LAST",AJ$5,AJ$5),"")</f>
        <v>0</v>
      </c>
      <c r="AK7" s="27">
        <f>IFERROR(BDH(C7,"PX_LAST",AK$5,AK$5),"")</f>
        <v>0</v>
      </c>
      <c r="AL7" s="27">
        <f>IFERROR(BDH(C7,"PX_LAST",AL$5,AL$5),"")</f>
        <v>0</v>
      </c>
      <c r="AM7" s="27">
        <f>IFERROR(BDH(C7,"PX_LAST",AM$5,AM$5),"")</f>
        <v>0</v>
      </c>
      <c r="AN7" s="27">
        <f>IFERROR(BDH(C7,"PX_LAST",AN$5,AN$5),"")</f>
        <v>0</v>
      </c>
      <c r="AO7" s="27">
        <f>IFERROR(BDH(C7,"PX_LAST",AO$5,AO$5),"")</f>
        <v>0</v>
      </c>
      <c r="AP7" s="27">
        <f>IFERROR(BDH(C7,"PX_LAST",AP$5,AP$5),"")</f>
        <v>0</v>
      </c>
      <c r="AQ7" s="27">
        <f>IFERROR(BDH(C7,"PX_LAST",AQ$5,AQ$5),"")</f>
        <v>0</v>
      </c>
      <c r="AR7" s="27">
        <f>IFERROR(BDH(C7,"PX_LAST",AR$5,AR$5),"")</f>
        <v>0</v>
      </c>
      <c r="AS7" s="27">
        <f>IFERROR(BDH(C7,"PX_LAST",AS$5,AS$5),"")</f>
        <v>0</v>
      </c>
      <c r="AT7" s="27">
        <f>IFERROR(BDH(C7,"PX_LAST",AT$5,AT$5),"")</f>
        <v>0</v>
      </c>
      <c r="AU7" s="27">
        <f>IFERROR(BDH(C7,"PX_LAST",AU$5,AU$5),"")</f>
        <v>0</v>
      </c>
      <c r="AV7" s="27">
        <f>IFERROR(BDH(C7,"PX_LAST",AV$5,AV$5),"")</f>
        <v>0</v>
      </c>
      <c r="AW7" s="27">
        <f>IFERROR(BDH(C7,"PX_LAST",AW$5,AW$5),"")</f>
        <v>0</v>
      </c>
      <c r="AX7" s="27">
        <f>IFERROR(BDH(C7,"PX_LAST",AX$5,AX$5),"")</f>
        <v>0</v>
      </c>
      <c r="AY7" s="27">
        <f>IFERROR(BDH(C7,"PX_LAST",AY$5,AY$5),"")</f>
        <v>0</v>
      </c>
      <c r="AZ7" s="27">
        <f>IFERROR(BDH(C7,"PX_LAST",AZ$5,AZ$5),"")</f>
        <v>0</v>
      </c>
      <c r="BA7" s="27">
        <f>IFERROR(BDH(C7,"PX_LAST",BA$5,BA$5),"")</f>
        <v>0</v>
      </c>
      <c r="BB7" s="27">
        <f>IFERROR(BDH(C7,"PX_LAST",BB$5,BB$5),"")</f>
        <v>0</v>
      </c>
      <c r="BC7" s="27">
        <f>IFERROR(BDH(C7,"PX_LAST",BC$5,BC$5),"")</f>
        <v>0</v>
      </c>
    </row>
    <row r="8" spans="1:55" ht="20" customHeight="1">
      <c r="A8">
        <f>IFERROR(LARGE(COR!$G:$G,3),0)</f>
        <v>0</v>
      </c>
      <c r="B8">
        <f>IFERROR(MATCH(A8,COR!$G:$G,0),0)</f>
        <v>0</v>
      </c>
      <c r="C8" s="56">
        <f>IFERROR(INDEX(COR!$D:$D,B8),"")</f>
        <v>0</v>
      </c>
      <c r="D8" s="57">
        <f>IFERROR(INDEX(COR!$C:$C,B8),"")</f>
        <v>0</v>
      </c>
      <c r="E8" s="58">
        <f>IFERROR(BDP(C8,"BID_SIZE"),"")</f>
        <v>0</v>
      </c>
      <c r="F8" s="59">
        <f>IFERROR(BDP(C8,"PX_BID"),"")</f>
        <v>0</v>
      </c>
      <c r="G8" s="59">
        <f>IFERROR(BDP(C8,"PX_ASK"),"")</f>
        <v>0</v>
      </c>
      <c r="H8" s="58">
        <f>IFERROR(BDP(C8,"ASK_SIZE"),"")</f>
        <v>0</v>
      </c>
      <c r="I8" s="58">
        <f>IFERROR(BDP(C8,"VOLUME"),"")</f>
        <v>0</v>
      </c>
      <c r="J8" s="59">
        <f>IFERROR(BDP(C8,"PX_LAST"),"")</f>
        <v>0</v>
      </c>
      <c r="K8" s="57">
        <f>IFERROR(BDP(C8,"LAST_UPDATE_DT_EXCH_TZ"),"")</f>
        <v>0</v>
      </c>
      <c r="L8" s="60">
        <f>IFERROR(INDEX(COR!$B:$B,B8),"")</f>
        <v>0</v>
      </c>
      <c r="AC8" s="25">
        <f>IFERROR(AVERAGE(AG8:BC8),"")</f>
        <v>0</v>
      </c>
      <c r="AD8" s="25">
        <f>IFERROR(STDEV(AG8:BC8),"")</f>
        <v>0</v>
      </c>
      <c r="AE8" s="26">
        <f>IFERROR(IF(AD8=0,"",(J8-AC8)/AD8),"")</f>
        <v>0</v>
      </c>
      <c r="AG8" s="27">
        <f>IFERROR(BDH(C8,"PX_LAST",AG$5,AG$5),"")</f>
        <v>0</v>
      </c>
      <c r="AH8" s="27">
        <f>IFERROR(BDH(C8,"PX_LAST",AH$5,AH$5),"")</f>
        <v>0</v>
      </c>
      <c r="AI8" s="27">
        <f>IFERROR(BDH(C8,"PX_LAST",AI$5,AI$5),"")</f>
        <v>0</v>
      </c>
      <c r="AJ8" s="27">
        <f>IFERROR(BDH(C8,"PX_LAST",AJ$5,AJ$5),"")</f>
        <v>0</v>
      </c>
      <c r="AK8" s="27">
        <f>IFERROR(BDH(C8,"PX_LAST",AK$5,AK$5),"")</f>
        <v>0</v>
      </c>
      <c r="AL8" s="27">
        <f>IFERROR(BDH(C8,"PX_LAST",AL$5,AL$5),"")</f>
        <v>0</v>
      </c>
      <c r="AM8" s="27">
        <f>IFERROR(BDH(C8,"PX_LAST",AM$5,AM$5),"")</f>
        <v>0</v>
      </c>
      <c r="AN8" s="27">
        <f>IFERROR(BDH(C8,"PX_LAST",AN$5,AN$5),"")</f>
        <v>0</v>
      </c>
      <c r="AO8" s="27">
        <f>IFERROR(BDH(C8,"PX_LAST",AO$5,AO$5),"")</f>
        <v>0</v>
      </c>
      <c r="AP8" s="27">
        <f>IFERROR(BDH(C8,"PX_LAST",AP$5,AP$5),"")</f>
        <v>0</v>
      </c>
      <c r="AQ8" s="27">
        <f>IFERROR(BDH(C8,"PX_LAST",AQ$5,AQ$5),"")</f>
        <v>0</v>
      </c>
      <c r="AR8" s="27">
        <f>IFERROR(BDH(C8,"PX_LAST",AR$5,AR$5),"")</f>
        <v>0</v>
      </c>
      <c r="AS8" s="27">
        <f>IFERROR(BDH(C8,"PX_LAST",AS$5,AS$5),"")</f>
        <v>0</v>
      </c>
      <c r="AT8" s="27">
        <f>IFERROR(BDH(C8,"PX_LAST",AT$5,AT$5),"")</f>
        <v>0</v>
      </c>
      <c r="AU8" s="27">
        <f>IFERROR(BDH(C8,"PX_LAST",AU$5,AU$5),"")</f>
        <v>0</v>
      </c>
      <c r="AV8" s="27">
        <f>IFERROR(BDH(C8,"PX_LAST",AV$5,AV$5),"")</f>
        <v>0</v>
      </c>
      <c r="AW8" s="27">
        <f>IFERROR(BDH(C8,"PX_LAST",AW$5,AW$5),"")</f>
        <v>0</v>
      </c>
      <c r="AX8" s="27">
        <f>IFERROR(BDH(C8,"PX_LAST",AX$5,AX$5),"")</f>
        <v>0</v>
      </c>
      <c r="AY8" s="27">
        <f>IFERROR(BDH(C8,"PX_LAST",AY$5,AY$5),"")</f>
        <v>0</v>
      </c>
      <c r="AZ8" s="27">
        <f>IFERROR(BDH(C8,"PX_LAST",AZ$5,AZ$5),"")</f>
        <v>0</v>
      </c>
      <c r="BA8" s="27">
        <f>IFERROR(BDH(C8,"PX_LAST",BA$5,BA$5),"")</f>
        <v>0</v>
      </c>
      <c r="BB8" s="27">
        <f>IFERROR(BDH(C8,"PX_LAST",BB$5,BB$5),"")</f>
        <v>0</v>
      </c>
      <c r="BC8" s="27">
        <f>IFERROR(BDH(C8,"PX_LAST",BC$5,BC$5),"")</f>
        <v>0</v>
      </c>
    </row>
    <row r="9" spans="1:55" ht="20" customHeight="1">
      <c r="A9">
        <f>IFERROR(LARGE(COR!$G:$G,4),0)</f>
        <v>0</v>
      </c>
      <c r="B9">
        <f>IFERROR(MATCH(A9,COR!$G:$G,0),0)</f>
        <v>0</v>
      </c>
      <c r="C9" s="56">
        <f>IFERROR(INDEX(COR!$D:$D,B9),"")</f>
        <v>0</v>
      </c>
      <c r="D9" s="57">
        <f>IFERROR(INDEX(COR!$C:$C,B9),"")</f>
        <v>0</v>
      </c>
      <c r="E9" s="58">
        <f>IFERROR(BDP(C9,"BID_SIZE"),"")</f>
        <v>0</v>
      </c>
      <c r="F9" s="59">
        <f>IFERROR(BDP(C9,"PX_BID"),"")</f>
        <v>0</v>
      </c>
      <c r="G9" s="59">
        <f>IFERROR(BDP(C9,"PX_ASK"),"")</f>
        <v>0</v>
      </c>
      <c r="H9" s="58">
        <f>IFERROR(BDP(C9,"ASK_SIZE"),"")</f>
        <v>0</v>
      </c>
      <c r="I9" s="58">
        <f>IFERROR(BDP(C9,"VOLUME"),"")</f>
        <v>0</v>
      </c>
      <c r="J9" s="59">
        <f>IFERROR(BDP(C9,"PX_LAST"),"")</f>
        <v>0</v>
      </c>
      <c r="K9" s="57">
        <f>IFERROR(BDP(C9,"LAST_UPDATE_DT_EXCH_TZ"),"")</f>
        <v>0</v>
      </c>
      <c r="L9" s="60">
        <f>IFERROR(INDEX(COR!$B:$B,B9),"")</f>
        <v>0</v>
      </c>
      <c r="AC9" s="25">
        <f>IFERROR(AVERAGE(AG9:BC9),"")</f>
        <v>0</v>
      </c>
      <c r="AD9" s="25">
        <f>IFERROR(STDEV(AG9:BC9),"")</f>
        <v>0</v>
      </c>
      <c r="AE9" s="26">
        <f>IFERROR(IF(AD9=0,"",(J9-AC9)/AD9),"")</f>
        <v>0</v>
      </c>
      <c r="AG9" s="27">
        <f>IFERROR(BDH(C9,"PX_LAST",AG$5,AG$5),"")</f>
        <v>0</v>
      </c>
      <c r="AH9" s="27">
        <f>IFERROR(BDH(C9,"PX_LAST",AH$5,AH$5),"")</f>
        <v>0</v>
      </c>
      <c r="AI9" s="27">
        <f>IFERROR(BDH(C9,"PX_LAST",AI$5,AI$5),"")</f>
        <v>0</v>
      </c>
      <c r="AJ9" s="27">
        <f>IFERROR(BDH(C9,"PX_LAST",AJ$5,AJ$5),"")</f>
        <v>0</v>
      </c>
      <c r="AK9" s="27">
        <f>IFERROR(BDH(C9,"PX_LAST",AK$5,AK$5),"")</f>
        <v>0</v>
      </c>
      <c r="AL9" s="27">
        <f>IFERROR(BDH(C9,"PX_LAST",AL$5,AL$5),"")</f>
        <v>0</v>
      </c>
      <c r="AM9" s="27">
        <f>IFERROR(BDH(C9,"PX_LAST",AM$5,AM$5),"")</f>
        <v>0</v>
      </c>
      <c r="AN9" s="27">
        <f>IFERROR(BDH(C9,"PX_LAST",AN$5,AN$5),"")</f>
        <v>0</v>
      </c>
      <c r="AO9" s="27">
        <f>IFERROR(BDH(C9,"PX_LAST",AO$5,AO$5),"")</f>
        <v>0</v>
      </c>
      <c r="AP9" s="27">
        <f>IFERROR(BDH(C9,"PX_LAST",AP$5,AP$5),"")</f>
        <v>0</v>
      </c>
      <c r="AQ9" s="27">
        <f>IFERROR(BDH(C9,"PX_LAST",AQ$5,AQ$5),"")</f>
        <v>0</v>
      </c>
      <c r="AR9" s="27">
        <f>IFERROR(BDH(C9,"PX_LAST",AR$5,AR$5),"")</f>
        <v>0</v>
      </c>
      <c r="AS9" s="27">
        <f>IFERROR(BDH(C9,"PX_LAST",AS$5,AS$5),"")</f>
        <v>0</v>
      </c>
      <c r="AT9" s="27">
        <f>IFERROR(BDH(C9,"PX_LAST",AT$5,AT$5),"")</f>
        <v>0</v>
      </c>
      <c r="AU9" s="27">
        <f>IFERROR(BDH(C9,"PX_LAST",AU$5,AU$5),"")</f>
        <v>0</v>
      </c>
      <c r="AV9" s="27">
        <f>IFERROR(BDH(C9,"PX_LAST",AV$5,AV$5),"")</f>
        <v>0</v>
      </c>
      <c r="AW9" s="27">
        <f>IFERROR(BDH(C9,"PX_LAST",AW$5,AW$5),"")</f>
        <v>0</v>
      </c>
      <c r="AX9" s="27">
        <f>IFERROR(BDH(C9,"PX_LAST",AX$5,AX$5),"")</f>
        <v>0</v>
      </c>
      <c r="AY9" s="27">
        <f>IFERROR(BDH(C9,"PX_LAST",AY$5,AY$5),"")</f>
        <v>0</v>
      </c>
      <c r="AZ9" s="27">
        <f>IFERROR(BDH(C9,"PX_LAST",AZ$5,AZ$5),"")</f>
        <v>0</v>
      </c>
      <c r="BA9" s="27">
        <f>IFERROR(BDH(C9,"PX_LAST",BA$5,BA$5),"")</f>
        <v>0</v>
      </c>
      <c r="BB9" s="27">
        <f>IFERROR(BDH(C9,"PX_LAST",BB$5,BB$5),"")</f>
        <v>0</v>
      </c>
      <c r="BC9" s="27">
        <f>IFERROR(BDH(C9,"PX_LAST",BC$5,BC$5),"")</f>
        <v>0</v>
      </c>
    </row>
    <row r="10" spans="1:55" ht="20" customHeight="1">
      <c r="A10">
        <f>IFERROR(LARGE(COR!$G:$G,5),0)</f>
        <v>0</v>
      </c>
      <c r="B10">
        <f>IFERROR(MATCH(A10,COR!$G:$G,0),0)</f>
        <v>0</v>
      </c>
      <c r="C10" s="56">
        <f>IFERROR(INDEX(COR!$D:$D,B10),"")</f>
        <v>0</v>
      </c>
      <c r="D10" s="57">
        <f>IFERROR(INDEX(COR!$C:$C,B10),"")</f>
        <v>0</v>
      </c>
      <c r="E10" s="58">
        <f>IFERROR(BDP(C10,"BID_SIZE"),"")</f>
        <v>0</v>
      </c>
      <c r="F10" s="59">
        <f>IFERROR(BDP(C10,"PX_BID"),"")</f>
        <v>0</v>
      </c>
      <c r="G10" s="59">
        <f>IFERROR(BDP(C10,"PX_ASK"),"")</f>
        <v>0</v>
      </c>
      <c r="H10" s="58">
        <f>IFERROR(BDP(C10,"ASK_SIZE"),"")</f>
        <v>0</v>
      </c>
      <c r="I10" s="58">
        <f>IFERROR(BDP(C10,"VOLUME"),"")</f>
        <v>0</v>
      </c>
      <c r="J10" s="59">
        <f>IFERROR(BDP(C10,"PX_LAST"),"")</f>
        <v>0</v>
      </c>
      <c r="K10" s="57">
        <f>IFERROR(BDP(C10,"LAST_UPDATE_DT_EXCH_TZ"),"")</f>
        <v>0</v>
      </c>
      <c r="L10" s="60">
        <f>IFERROR(INDEX(COR!$B:$B,B10),"")</f>
        <v>0</v>
      </c>
      <c r="AC10" s="25">
        <f>IFERROR(AVERAGE(AG10:BC10),"")</f>
        <v>0</v>
      </c>
      <c r="AD10" s="25">
        <f>IFERROR(STDEV(AG10:BC10),"")</f>
        <v>0</v>
      </c>
      <c r="AE10" s="26">
        <f>IFERROR(IF(AD10=0,"",(J10-AC10)/AD10),"")</f>
        <v>0</v>
      </c>
      <c r="AG10" s="27">
        <f>IFERROR(BDH(C10,"PX_LAST",AG$5,AG$5),"")</f>
        <v>0</v>
      </c>
      <c r="AH10" s="27">
        <f>IFERROR(BDH(C10,"PX_LAST",AH$5,AH$5),"")</f>
        <v>0</v>
      </c>
      <c r="AI10" s="27">
        <f>IFERROR(BDH(C10,"PX_LAST",AI$5,AI$5),"")</f>
        <v>0</v>
      </c>
      <c r="AJ10" s="27">
        <f>IFERROR(BDH(C10,"PX_LAST",AJ$5,AJ$5),"")</f>
        <v>0</v>
      </c>
      <c r="AK10" s="27">
        <f>IFERROR(BDH(C10,"PX_LAST",AK$5,AK$5),"")</f>
        <v>0</v>
      </c>
      <c r="AL10" s="27">
        <f>IFERROR(BDH(C10,"PX_LAST",AL$5,AL$5),"")</f>
        <v>0</v>
      </c>
      <c r="AM10" s="27">
        <f>IFERROR(BDH(C10,"PX_LAST",AM$5,AM$5),"")</f>
        <v>0</v>
      </c>
      <c r="AN10" s="27">
        <f>IFERROR(BDH(C10,"PX_LAST",AN$5,AN$5),"")</f>
        <v>0</v>
      </c>
      <c r="AO10" s="27">
        <f>IFERROR(BDH(C10,"PX_LAST",AO$5,AO$5),"")</f>
        <v>0</v>
      </c>
      <c r="AP10" s="27">
        <f>IFERROR(BDH(C10,"PX_LAST",AP$5,AP$5),"")</f>
        <v>0</v>
      </c>
      <c r="AQ10" s="27">
        <f>IFERROR(BDH(C10,"PX_LAST",AQ$5,AQ$5),"")</f>
        <v>0</v>
      </c>
      <c r="AR10" s="27">
        <f>IFERROR(BDH(C10,"PX_LAST",AR$5,AR$5),"")</f>
        <v>0</v>
      </c>
      <c r="AS10" s="27">
        <f>IFERROR(BDH(C10,"PX_LAST",AS$5,AS$5),"")</f>
        <v>0</v>
      </c>
      <c r="AT10" s="27">
        <f>IFERROR(BDH(C10,"PX_LAST",AT$5,AT$5),"")</f>
        <v>0</v>
      </c>
      <c r="AU10" s="27">
        <f>IFERROR(BDH(C10,"PX_LAST",AU$5,AU$5),"")</f>
        <v>0</v>
      </c>
      <c r="AV10" s="27">
        <f>IFERROR(BDH(C10,"PX_LAST",AV$5,AV$5),"")</f>
        <v>0</v>
      </c>
      <c r="AW10" s="27">
        <f>IFERROR(BDH(C10,"PX_LAST",AW$5,AW$5),"")</f>
        <v>0</v>
      </c>
      <c r="AX10" s="27">
        <f>IFERROR(BDH(C10,"PX_LAST",AX$5,AX$5),"")</f>
        <v>0</v>
      </c>
      <c r="AY10" s="27">
        <f>IFERROR(BDH(C10,"PX_LAST",AY$5,AY$5),"")</f>
        <v>0</v>
      </c>
      <c r="AZ10" s="27">
        <f>IFERROR(BDH(C10,"PX_LAST",AZ$5,AZ$5),"")</f>
        <v>0</v>
      </c>
      <c r="BA10" s="27">
        <f>IFERROR(BDH(C10,"PX_LAST",BA$5,BA$5),"")</f>
        <v>0</v>
      </c>
      <c r="BB10" s="27">
        <f>IFERROR(BDH(C10,"PX_LAST",BB$5,BB$5),"")</f>
        <v>0</v>
      </c>
      <c r="BC10" s="27">
        <f>IFERROR(BDH(C10,"PX_LAST",BC$5,BC$5),"")</f>
        <v>0</v>
      </c>
    </row>
    <row r="11" spans="1:55" ht="20" customHeight="1">
      <c r="A11">
        <f>IFERROR(LARGE(COR!$G:$G,6),0)</f>
        <v>0</v>
      </c>
      <c r="B11">
        <f>IFERROR(MATCH(A11,COR!$G:$G,0),0)</f>
        <v>0</v>
      </c>
      <c r="C11" s="56">
        <f>IFERROR(INDEX(COR!$D:$D,B11),"")</f>
        <v>0</v>
      </c>
      <c r="D11" s="57">
        <f>IFERROR(INDEX(COR!$C:$C,B11),"")</f>
        <v>0</v>
      </c>
      <c r="E11" s="58">
        <f>IFERROR(BDP(C11,"BID_SIZE"),"")</f>
        <v>0</v>
      </c>
      <c r="F11" s="59">
        <f>IFERROR(BDP(C11,"PX_BID"),"")</f>
        <v>0</v>
      </c>
      <c r="G11" s="59">
        <f>IFERROR(BDP(C11,"PX_ASK"),"")</f>
        <v>0</v>
      </c>
      <c r="H11" s="58">
        <f>IFERROR(BDP(C11,"ASK_SIZE"),"")</f>
        <v>0</v>
      </c>
      <c r="I11" s="58">
        <f>IFERROR(BDP(C11,"VOLUME"),"")</f>
        <v>0</v>
      </c>
      <c r="J11" s="59">
        <f>IFERROR(BDP(C11,"PX_LAST"),"")</f>
        <v>0</v>
      </c>
      <c r="K11" s="57">
        <f>IFERROR(BDP(C11,"LAST_UPDATE_DT_EXCH_TZ"),"")</f>
        <v>0</v>
      </c>
      <c r="L11" s="60">
        <f>IFERROR(INDEX(COR!$B:$B,B11),"")</f>
        <v>0</v>
      </c>
      <c r="AC11" s="25">
        <f>IFERROR(AVERAGE(AG11:BC11),"")</f>
        <v>0</v>
      </c>
      <c r="AD11" s="25">
        <f>IFERROR(STDEV(AG11:BC11),"")</f>
        <v>0</v>
      </c>
      <c r="AE11" s="26">
        <f>IFERROR(IF(AD11=0,"",(J11-AC11)/AD11),"")</f>
        <v>0</v>
      </c>
      <c r="AG11" s="27">
        <f>IFERROR(BDH(C11,"PX_LAST",AG$5,AG$5),"")</f>
        <v>0</v>
      </c>
      <c r="AH11" s="27">
        <f>IFERROR(BDH(C11,"PX_LAST",AH$5,AH$5),"")</f>
        <v>0</v>
      </c>
      <c r="AI11" s="27">
        <f>IFERROR(BDH(C11,"PX_LAST",AI$5,AI$5),"")</f>
        <v>0</v>
      </c>
      <c r="AJ11" s="27">
        <f>IFERROR(BDH(C11,"PX_LAST",AJ$5,AJ$5),"")</f>
        <v>0</v>
      </c>
      <c r="AK11" s="27">
        <f>IFERROR(BDH(C11,"PX_LAST",AK$5,AK$5),"")</f>
        <v>0</v>
      </c>
      <c r="AL11" s="27">
        <f>IFERROR(BDH(C11,"PX_LAST",AL$5,AL$5),"")</f>
        <v>0</v>
      </c>
      <c r="AM11" s="27">
        <f>IFERROR(BDH(C11,"PX_LAST",AM$5,AM$5),"")</f>
        <v>0</v>
      </c>
      <c r="AN11" s="27">
        <f>IFERROR(BDH(C11,"PX_LAST",AN$5,AN$5),"")</f>
        <v>0</v>
      </c>
      <c r="AO11" s="27">
        <f>IFERROR(BDH(C11,"PX_LAST",AO$5,AO$5),"")</f>
        <v>0</v>
      </c>
      <c r="AP11" s="27">
        <f>IFERROR(BDH(C11,"PX_LAST",AP$5,AP$5),"")</f>
        <v>0</v>
      </c>
      <c r="AQ11" s="27">
        <f>IFERROR(BDH(C11,"PX_LAST",AQ$5,AQ$5),"")</f>
        <v>0</v>
      </c>
      <c r="AR11" s="27">
        <f>IFERROR(BDH(C11,"PX_LAST",AR$5,AR$5),"")</f>
        <v>0</v>
      </c>
      <c r="AS11" s="27">
        <f>IFERROR(BDH(C11,"PX_LAST",AS$5,AS$5),"")</f>
        <v>0</v>
      </c>
      <c r="AT11" s="27">
        <f>IFERROR(BDH(C11,"PX_LAST",AT$5,AT$5),"")</f>
        <v>0</v>
      </c>
      <c r="AU11" s="27">
        <f>IFERROR(BDH(C11,"PX_LAST",AU$5,AU$5),"")</f>
        <v>0</v>
      </c>
      <c r="AV11" s="27">
        <f>IFERROR(BDH(C11,"PX_LAST",AV$5,AV$5),"")</f>
        <v>0</v>
      </c>
      <c r="AW11" s="27">
        <f>IFERROR(BDH(C11,"PX_LAST",AW$5,AW$5),"")</f>
        <v>0</v>
      </c>
      <c r="AX11" s="27">
        <f>IFERROR(BDH(C11,"PX_LAST",AX$5,AX$5),"")</f>
        <v>0</v>
      </c>
      <c r="AY11" s="27">
        <f>IFERROR(BDH(C11,"PX_LAST",AY$5,AY$5),"")</f>
        <v>0</v>
      </c>
      <c r="AZ11" s="27">
        <f>IFERROR(BDH(C11,"PX_LAST",AZ$5,AZ$5),"")</f>
        <v>0</v>
      </c>
      <c r="BA11" s="27">
        <f>IFERROR(BDH(C11,"PX_LAST",BA$5,BA$5),"")</f>
        <v>0</v>
      </c>
      <c r="BB11" s="27">
        <f>IFERROR(BDH(C11,"PX_LAST",BB$5,BB$5),"")</f>
        <v>0</v>
      </c>
      <c r="BC11" s="27">
        <f>IFERROR(BDH(C11,"PX_LAST",BC$5,BC$5),"")</f>
        <v>0</v>
      </c>
    </row>
    <row r="12" spans="1:55" ht="20" customHeight="1">
      <c r="A12">
        <f>IFERROR(LARGE(COR!$G:$G,7),0)</f>
        <v>0</v>
      </c>
      <c r="B12">
        <f>IFERROR(MATCH(A12,COR!$G:$G,0),0)</f>
        <v>0</v>
      </c>
      <c r="C12" s="56">
        <f>IFERROR(INDEX(COR!$D:$D,B12),"")</f>
        <v>0</v>
      </c>
      <c r="D12" s="57">
        <f>IFERROR(INDEX(COR!$C:$C,B12),"")</f>
        <v>0</v>
      </c>
      <c r="E12" s="58">
        <f>IFERROR(BDP(C12,"BID_SIZE"),"")</f>
        <v>0</v>
      </c>
      <c r="F12" s="59">
        <f>IFERROR(BDP(C12,"PX_BID"),"")</f>
        <v>0</v>
      </c>
      <c r="G12" s="59">
        <f>IFERROR(BDP(C12,"PX_ASK"),"")</f>
        <v>0</v>
      </c>
      <c r="H12" s="58">
        <f>IFERROR(BDP(C12,"ASK_SIZE"),"")</f>
        <v>0</v>
      </c>
      <c r="I12" s="58">
        <f>IFERROR(BDP(C12,"VOLUME"),"")</f>
        <v>0</v>
      </c>
      <c r="J12" s="59">
        <f>IFERROR(BDP(C12,"PX_LAST"),"")</f>
        <v>0</v>
      </c>
      <c r="K12" s="57">
        <f>IFERROR(BDP(C12,"LAST_UPDATE_DT_EXCH_TZ"),"")</f>
        <v>0</v>
      </c>
      <c r="L12" s="60">
        <f>IFERROR(INDEX(COR!$B:$B,B12),"")</f>
        <v>0</v>
      </c>
      <c r="AC12" s="25">
        <f>IFERROR(AVERAGE(AG12:BC12),"")</f>
        <v>0</v>
      </c>
      <c r="AD12" s="25">
        <f>IFERROR(STDEV(AG12:BC12),"")</f>
        <v>0</v>
      </c>
      <c r="AE12" s="26">
        <f>IFERROR(IF(AD12=0,"",(J12-AC12)/AD12),"")</f>
        <v>0</v>
      </c>
      <c r="AG12" s="27">
        <f>IFERROR(BDH(C12,"PX_LAST",AG$5,AG$5),"")</f>
        <v>0</v>
      </c>
      <c r="AH12" s="27">
        <f>IFERROR(BDH(C12,"PX_LAST",AH$5,AH$5),"")</f>
        <v>0</v>
      </c>
      <c r="AI12" s="27">
        <f>IFERROR(BDH(C12,"PX_LAST",AI$5,AI$5),"")</f>
        <v>0</v>
      </c>
      <c r="AJ12" s="27">
        <f>IFERROR(BDH(C12,"PX_LAST",AJ$5,AJ$5),"")</f>
        <v>0</v>
      </c>
      <c r="AK12" s="27">
        <f>IFERROR(BDH(C12,"PX_LAST",AK$5,AK$5),"")</f>
        <v>0</v>
      </c>
      <c r="AL12" s="27">
        <f>IFERROR(BDH(C12,"PX_LAST",AL$5,AL$5),"")</f>
        <v>0</v>
      </c>
      <c r="AM12" s="27">
        <f>IFERROR(BDH(C12,"PX_LAST",AM$5,AM$5),"")</f>
        <v>0</v>
      </c>
      <c r="AN12" s="27">
        <f>IFERROR(BDH(C12,"PX_LAST",AN$5,AN$5),"")</f>
        <v>0</v>
      </c>
      <c r="AO12" s="27">
        <f>IFERROR(BDH(C12,"PX_LAST",AO$5,AO$5),"")</f>
        <v>0</v>
      </c>
      <c r="AP12" s="27">
        <f>IFERROR(BDH(C12,"PX_LAST",AP$5,AP$5),"")</f>
        <v>0</v>
      </c>
      <c r="AQ12" s="27">
        <f>IFERROR(BDH(C12,"PX_LAST",AQ$5,AQ$5),"")</f>
        <v>0</v>
      </c>
      <c r="AR12" s="27">
        <f>IFERROR(BDH(C12,"PX_LAST",AR$5,AR$5),"")</f>
        <v>0</v>
      </c>
      <c r="AS12" s="27">
        <f>IFERROR(BDH(C12,"PX_LAST",AS$5,AS$5),"")</f>
        <v>0</v>
      </c>
      <c r="AT12" s="27">
        <f>IFERROR(BDH(C12,"PX_LAST",AT$5,AT$5),"")</f>
        <v>0</v>
      </c>
      <c r="AU12" s="27">
        <f>IFERROR(BDH(C12,"PX_LAST",AU$5,AU$5),"")</f>
        <v>0</v>
      </c>
      <c r="AV12" s="27">
        <f>IFERROR(BDH(C12,"PX_LAST",AV$5,AV$5),"")</f>
        <v>0</v>
      </c>
      <c r="AW12" s="27">
        <f>IFERROR(BDH(C12,"PX_LAST",AW$5,AW$5),"")</f>
        <v>0</v>
      </c>
      <c r="AX12" s="27">
        <f>IFERROR(BDH(C12,"PX_LAST",AX$5,AX$5),"")</f>
        <v>0</v>
      </c>
      <c r="AY12" s="27">
        <f>IFERROR(BDH(C12,"PX_LAST",AY$5,AY$5),"")</f>
        <v>0</v>
      </c>
      <c r="AZ12" s="27">
        <f>IFERROR(BDH(C12,"PX_LAST",AZ$5,AZ$5),"")</f>
        <v>0</v>
      </c>
      <c r="BA12" s="27">
        <f>IFERROR(BDH(C12,"PX_LAST",BA$5,BA$5),"")</f>
        <v>0</v>
      </c>
      <c r="BB12" s="27">
        <f>IFERROR(BDH(C12,"PX_LAST",BB$5,BB$5),"")</f>
        <v>0</v>
      </c>
      <c r="BC12" s="27">
        <f>IFERROR(BDH(C12,"PX_LAST",BC$5,BC$5),"")</f>
        <v>0</v>
      </c>
    </row>
    <row r="13" spans="1:55" ht="20" customHeight="1">
      <c r="A13">
        <f>IFERROR(LARGE(COR!$G:$G,8),0)</f>
        <v>0</v>
      </c>
      <c r="B13">
        <f>IFERROR(MATCH(A13,COR!$G:$G,0),0)</f>
        <v>0</v>
      </c>
      <c r="C13" s="56">
        <f>IFERROR(INDEX(COR!$D:$D,B13),"")</f>
        <v>0</v>
      </c>
      <c r="D13" s="57">
        <f>IFERROR(INDEX(COR!$C:$C,B13),"")</f>
        <v>0</v>
      </c>
      <c r="E13" s="58">
        <f>IFERROR(BDP(C13,"BID_SIZE"),"")</f>
        <v>0</v>
      </c>
      <c r="F13" s="59">
        <f>IFERROR(BDP(C13,"PX_BID"),"")</f>
        <v>0</v>
      </c>
      <c r="G13" s="59">
        <f>IFERROR(BDP(C13,"PX_ASK"),"")</f>
        <v>0</v>
      </c>
      <c r="H13" s="58">
        <f>IFERROR(BDP(C13,"ASK_SIZE"),"")</f>
        <v>0</v>
      </c>
      <c r="I13" s="58">
        <f>IFERROR(BDP(C13,"VOLUME"),"")</f>
        <v>0</v>
      </c>
      <c r="J13" s="59">
        <f>IFERROR(BDP(C13,"PX_LAST"),"")</f>
        <v>0</v>
      </c>
      <c r="K13" s="57">
        <f>IFERROR(BDP(C13,"LAST_UPDATE_DT_EXCH_TZ"),"")</f>
        <v>0</v>
      </c>
      <c r="L13" s="60">
        <f>IFERROR(INDEX(COR!$B:$B,B13),"")</f>
        <v>0</v>
      </c>
      <c r="AC13" s="25">
        <f>IFERROR(AVERAGE(AG13:BC13),"")</f>
        <v>0</v>
      </c>
      <c r="AD13" s="25">
        <f>IFERROR(STDEV(AG13:BC13),"")</f>
        <v>0</v>
      </c>
      <c r="AE13" s="26">
        <f>IFERROR(IF(AD13=0,"",(J13-AC13)/AD13),"")</f>
        <v>0</v>
      </c>
      <c r="AG13" s="27">
        <f>IFERROR(BDH(C13,"PX_LAST",AG$5,AG$5),"")</f>
        <v>0</v>
      </c>
      <c r="AH13" s="27">
        <f>IFERROR(BDH(C13,"PX_LAST",AH$5,AH$5),"")</f>
        <v>0</v>
      </c>
      <c r="AI13" s="27">
        <f>IFERROR(BDH(C13,"PX_LAST",AI$5,AI$5),"")</f>
        <v>0</v>
      </c>
      <c r="AJ13" s="27">
        <f>IFERROR(BDH(C13,"PX_LAST",AJ$5,AJ$5),"")</f>
        <v>0</v>
      </c>
      <c r="AK13" s="27">
        <f>IFERROR(BDH(C13,"PX_LAST",AK$5,AK$5),"")</f>
        <v>0</v>
      </c>
      <c r="AL13" s="27">
        <f>IFERROR(BDH(C13,"PX_LAST",AL$5,AL$5),"")</f>
        <v>0</v>
      </c>
      <c r="AM13" s="27">
        <f>IFERROR(BDH(C13,"PX_LAST",AM$5,AM$5),"")</f>
        <v>0</v>
      </c>
      <c r="AN13" s="27">
        <f>IFERROR(BDH(C13,"PX_LAST",AN$5,AN$5),"")</f>
        <v>0</v>
      </c>
      <c r="AO13" s="27">
        <f>IFERROR(BDH(C13,"PX_LAST",AO$5,AO$5),"")</f>
        <v>0</v>
      </c>
      <c r="AP13" s="27">
        <f>IFERROR(BDH(C13,"PX_LAST",AP$5,AP$5),"")</f>
        <v>0</v>
      </c>
      <c r="AQ13" s="27">
        <f>IFERROR(BDH(C13,"PX_LAST",AQ$5,AQ$5),"")</f>
        <v>0</v>
      </c>
      <c r="AR13" s="27">
        <f>IFERROR(BDH(C13,"PX_LAST",AR$5,AR$5),"")</f>
        <v>0</v>
      </c>
      <c r="AS13" s="27">
        <f>IFERROR(BDH(C13,"PX_LAST",AS$5,AS$5),"")</f>
        <v>0</v>
      </c>
      <c r="AT13" s="27">
        <f>IFERROR(BDH(C13,"PX_LAST",AT$5,AT$5),"")</f>
        <v>0</v>
      </c>
      <c r="AU13" s="27">
        <f>IFERROR(BDH(C13,"PX_LAST",AU$5,AU$5),"")</f>
        <v>0</v>
      </c>
      <c r="AV13" s="27">
        <f>IFERROR(BDH(C13,"PX_LAST",AV$5,AV$5),"")</f>
        <v>0</v>
      </c>
      <c r="AW13" s="27">
        <f>IFERROR(BDH(C13,"PX_LAST",AW$5,AW$5),"")</f>
        <v>0</v>
      </c>
      <c r="AX13" s="27">
        <f>IFERROR(BDH(C13,"PX_LAST",AX$5,AX$5),"")</f>
        <v>0</v>
      </c>
      <c r="AY13" s="27">
        <f>IFERROR(BDH(C13,"PX_LAST",AY$5,AY$5),"")</f>
        <v>0</v>
      </c>
      <c r="AZ13" s="27">
        <f>IFERROR(BDH(C13,"PX_LAST",AZ$5,AZ$5),"")</f>
        <v>0</v>
      </c>
      <c r="BA13" s="27">
        <f>IFERROR(BDH(C13,"PX_LAST",BA$5,BA$5),"")</f>
        <v>0</v>
      </c>
      <c r="BB13" s="27">
        <f>IFERROR(BDH(C13,"PX_LAST",BB$5,BB$5),"")</f>
        <v>0</v>
      </c>
      <c r="BC13" s="27">
        <f>IFERROR(BDH(C13,"PX_LAST",BC$5,BC$5),"")</f>
        <v>0</v>
      </c>
    </row>
    <row r="14" spans="1:55" ht="20" customHeight="1">
      <c r="A14">
        <f>IFERROR(LARGE(COR!$G:$G,9),0)</f>
        <v>0</v>
      </c>
      <c r="B14">
        <f>IFERROR(MATCH(A14,COR!$G:$G,0),0)</f>
        <v>0</v>
      </c>
      <c r="C14" s="56">
        <f>IFERROR(INDEX(COR!$D:$D,B14),"")</f>
        <v>0</v>
      </c>
      <c r="D14" s="57">
        <f>IFERROR(INDEX(COR!$C:$C,B14),"")</f>
        <v>0</v>
      </c>
      <c r="E14" s="58">
        <f>IFERROR(BDP(C14,"BID_SIZE"),"")</f>
        <v>0</v>
      </c>
      <c r="F14" s="59">
        <f>IFERROR(BDP(C14,"PX_BID"),"")</f>
        <v>0</v>
      </c>
      <c r="G14" s="59">
        <f>IFERROR(BDP(C14,"PX_ASK"),"")</f>
        <v>0</v>
      </c>
      <c r="H14" s="58">
        <f>IFERROR(BDP(C14,"ASK_SIZE"),"")</f>
        <v>0</v>
      </c>
      <c r="I14" s="58">
        <f>IFERROR(BDP(C14,"VOLUME"),"")</f>
        <v>0</v>
      </c>
      <c r="J14" s="59">
        <f>IFERROR(BDP(C14,"PX_LAST"),"")</f>
        <v>0</v>
      </c>
      <c r="K14" s="57">
        <f>IFERROR(BDP(C14,"LAST_UPDATE_DT_EXCH_TZ"),"")</f>
        <v>0</v>
      </c>
      <c r="L14" s="60">
        <f>IFERROR(INDEX(COR!$B:$B,B14),"")</f>
        <v>0</v>
      </c>
      <c r="AC14" s="25">
        <f>IFERROR(AVERAGE(AG14:BC14),"")</f>
        <v>0</v>
      </c>
      <c r="AD14" s="25">
        <f>IFERROR(STDEV(AG14:BC14),"")</f>
        <v>0</v>
      </c>
      <c r="AE14" s="26">
        <f>IFERROR(IF(AD14=0,"",(J14-AC14)/AD14),"")</f>
        <v>0</v>
      </c>
      <c r="AG14" s="27">
        <f>IFERROR(BDH(C14,"PX_LAST",AG$5,AG$5),"")</f>
        <v>0</v>
      </c>
      <c r="AH14" s="27">
        <f>IFERROR(BDH(C14,"PX_LAST",AH$5,AH$5),"")</f>
        <v>0</v>
      </c>
      <c r="AI14" s="27">
        <f>IFERROR(BDH(C14,"PX_LAST",AI$5,AI$5),"")</f>
        <v>0</v>
      </c>
      <c r="AJ14" s="27">
        <f>IFERROR(BDH(C14,"PX_LAST",AJ$5,AJ$5),"")</f>
        <v>0</v>
      </c>
      <c r="AK14" s="27">
        <f>IFERROR(BDH(C14,"PX_LAST",AK$5,AK$5),"")</f>
        <v>0</v>
      </c>
      <c r="AL14" s="27">
        <f>IFERROR(BDH(C14,"PX_LAST",AL$5,AL$5),"")</f>
        <v>0</v>
      </c>
      <c r="AM14" s="27">
        <f>IFERROR(BDH(C14,"PX_LAST",AM$5,AM$5),"")</f>
        <v>0</v>
      </c>
      <c r="AN14" s="27">
        <f>IFERROR(BDH(C14,"PX_LAST",AN$5,AN$5),"")</f>
        <v>0</v>
      </c>
      <c r="AO14" s="27">
        <f>IFERROR(BDH(C14,"PX_LAST",AO$5,AO$5),"")</f>
        <v>0</v>
      </c>
      <c r="AP14" s="27">
        <f>IFERROR(BDH(C14,"PX_LAST",AP$5,AP$5),"")</f>
        <v>0</v>
      </c>
      <c r="AQ14" s="27">
        <f>IFERROR(BDH(C14,"PX_LAST",AQ$5,AQ$5),"")</f>
        <v>0</v>
      </c>
      <c r="AR14" s="27">
        <f>IFERROR(BDH(C14,"PX_LAST",AR$5,AR$5),"")</f>
        <v>0</v>
      </c>
      <c r="AS14" s="27">
        <f>IFERROR(BDH(C14,"PX_LAST",AS$5,AS$5),"")</f>
        <v>0</v>
      </c>
      <c r="AT14" s="27">
        <f>IFERROR(BDH(C14,"PX_LAST",AT$5,AT$5),"")</f>
        <v>0</v>
      </c>
      <c r="AU14" s="27">
        <f>IFERROR(BDH(C14,"PX_LAST",AU$5,AU$5),"")</f>
        <v>0</v>
      </c>
      <c r="AV14" s="27">
        <f>IFERROR(BDH(C14,"PX_LAST",AV$5,AV$5),"")</f>
        <v>0</v>
      </c>
      <c r="AW14" s="27">
        <f>IFERROR(BDH(C14,"PX_LAST",AW$5,AW$5),"")</f>
        <v>0</v>
      </c>
      <c r="AX14" s="27">
        <f>IFERROR(BDH(C14,"PX_LAST",AX$5,AX$5),"")</f>
        <v>0</v>
      </c>
      <c r="AY14" s="27">
        <f>IFERROR(BDH(C14,"PX_LAST",AY$5,AY$5),"")</f>
        <v>0</v>
      </c>
      <c r="AZ14" s="27">
        <f>IFERROR(BDH(C14,"PX_LAST",AZ$5,AZ$5),"")</f>
        <v>0</v>
      </c>
      <c r="BA14" s="27">
        <f>IFERROR(BDH(C14,"PX_LAST",BA$5,BA$5),"")</f>
        <v>0</v>
      </c>
      <c r="BB14" s="27">
        <f>IFERROR(BDH(C14,"PX_LAST",BB$5,BB$5),"")</f>
        <v>0</v>
      </c>
      <c r="BC14" s="27">
        <f>IFERROR(BDH(C14,"PX_LAST",BC$5,BC$5),"")</f>
        <v>0</v>
      </c>
    </row>
    <row r="15" spans="1:55" ht="20" customHeight="1">
      <c r="A15">
        <f>IFERROR(LARGE(COR!$G:$G,10),0)</f>
        <v>0</v>
      </c>
      <c r="B15">
        <f>IFERROR(MATCH(A15,COR!$G:$G,0),0)</f>
        <v>0</v>
      </c>
      <c r="C15" s="56">
        <f>IFERROR(INDEX(COR!$D:$D,B15),"")</f>
        <v>0</v>
      </c>
      <c r="D15" s="57">
        <f>IFERROR(INDEX(COR!$C:$C,B15),"")</f>
        <v>0</v>
      </c>
      <c r="E15" s="58">
        <f>IFERROR(BDP(C15,"BID_SIZE"),"")</f>
        <v>0</v>
      </c>
      <c r="F15" s="59">
        <f>IFERROR(BDP(C15,"PX_BID"),"")</f>
        <v>0</v>
      </c>
      <c r="G15" s="59">
        <f>IFERROR(BDP(C15,"PX_ASK"),"")</f>
        <v>0</v>
      </c>
      <c r="H15" s="58">
        <f>IFERROR(BDP(C15,"ASK_SIZE"),"")</f>
        <v>0</v>
      </c>
      <c r="I15" s="58">
        <f>IFERROR(BDP(C15,"VOLUME"),"")</f>
        <v>0</v>
      </c>
      <c r="J15" s="59">
        <f>IFERROR(BDP(C15,"PX_LAST"),"")</f>
        <v>0</v>
      </c>
      <c r="K15" s="57">
        <f>IFERROR(BDP(C15,"LAST_UPDATE_DT_EXCH_TZ"),"")</f>
        <v>0</v>
      </c>
      <c r="L15" s="60">
        <f>IFERROR(INDEX(COR!$B:$B,B15),"")</f>
        <v>0</v>
      </c>
      <c r="AC15" s="25">
        <f>IFERROR(AVERAGE(AG15:BC15),"")</f>
        <v>0</v>
      </c>
      <c r="AD15" s="25">
        <f>IFERROR(STDEV(AG15:BC15),"")</f>
        <v>0</v>
      </c>
      <c r="AE15" s="26">
        <f>IFERROR(IF(AD15=0,"",(J15-AC15)/AD15),"")</f>
        <v>0</v>
      </c>
      <c r="AG15" s="27">
        <f>IFERROR(BDH(C15,"PX_LAST",AG$5,AG$5),"")</f>
        <v>0</v>
      </c>
      <c r="AH15" s="27">
        <f>IFERROR(BDH(C15,"PX_LAST",AH$5,AH$5),"")</f>
        <v>0</v>
      </c>
      <c r="AI15" s="27">
        <f>IFERROR(BDH(C15,"PX_LAST",AI$5,AI$5),"")</f>
        <v>0</v>
      </c>
      <c r="AJ15" s="27">
        <f>IFERROR(BDH(C15,"PX_LAST",AJ$5,AJ$5),"")</f>
        <v>0</v>
      </c>
      <c r="AK15" s="27">
        <f>IFERROR(BDH(C15,"PX_LAST",AK$5,AK$5),"")</f>
        <v>0</v>
      </c>
      <c r="AL15" s="27">
        <f>IFERROR(BDH(C15,"PX_LAST",AL$5,AL$5),"")</f>
        <v>0</v>
      </c>
      <c r="AM15" s="27">
        <f>IFERROR(BDH(C15,"PX_LAST",AM$5,AM$5),"")</f>
        <v>0</v>
      </c>
      <c r="AN15" s="27">
        <f>IFERROR(BDH(C15,"PX_LAST",AN$5,AN$5),"")</f>
        <v>0</v>
      </c>
      <c r="AO15" s="27">
        <f>IFERROR(BDH(C15,"PX_LAST",AO$5,AO$5),"")</f>
        <v>0</v>
      </c>
      <c r="AP15" s="27">
        <f>IFERROR(BDH(C15,"PX_LAST",AP$5,AP$5),"")</f>
        <v>0</v>
      </c>
      <c r="AQ15" s="27">
        <f>IFERROR(BDH(C15,"PX_LAST",AQ$5,AQ$5),"")</f>
        <v>0</v>
      </c>
      <c r="AR15" s="27">
        <f>IFERROR(BDH(C15,"PX_LAST",AR$5,AR$5),"")</f>
        <v>0</v>
      </c>
      <c r="AS15" s="27">
        <f>IFERROR(BDH(C15,"PX_LAST",AS$5,AS$5),"")</f>
        <v>0</v>
      </c>
      <c r="AT15" s="27">
        <f>IFERROR(BDH(C15,"PX_LAST",AT$5,AT$5),"")</f>
        <v>0</v>
      </c>
      <c r="AU15" s="27">
        <f>IFERROR(BDH(C15,"PX_LAST",AU$5,AU$5),"")</f>
        <v>0</v>
      </c>
      <c r="AV15" s="27">
        <f>IFERROR(BDH(C15,"PX_LAST",AV$5,AV$5),"")</f>
        <v>0</v>
      </c>
      <c r="AW15" s="27">
        <f>IFERROR(BDH(C15,"PX_LAST",AW$5,AW$5),"")</f>
        <v>0</v>
      </c>
      <c r="AX15" s="27">
        <f>IFERROR(BDH(C15,"PX_LAST",AX$5,AX$5),"")</f>
        <v>0</v>
      </c>
      <c r="AY15" s="27">
        <f>IFERROR(BDH(C15,"PX_LAST",AY$5,AY$5),"")</f>
        <v>0</v>
      </c>
      <c r="AZ15" s="27">
        <f>IFERROR(BDH(C15,"PX_LAST",AZ$5,AZ$5),"")</f>
        <v>0</v>
      </c>
      <c r="BA15" s="27">
        <f>IFERROR(BDH(C15,"PX_LAST",BA$5,BA$5),"")</f>
        <v>0</v>
      </c>
      <c r="BB15" s="27">
        <f>IFERROR(BDH(C15,"PX_LAST",BB$5,BB$5),"")</f>
        <v>0</v>
      </c>
      <c r="BC15" s="27">
        <f>IFERROR(BDH(C15,"PX_LAST",BC$5,BC$5),"")</f>
        <v>0</v>
      </c>
    </row>
    <row r="16" spans="1:55" ht="20" customHeight="1">
      <c r="A16">
        <f>IFERROR(LARGE(COR!$G:$G,11),0)</f>
        <v>0</v>
      </c>
      <c r="B16">
        <f>IFERROR(MATCH(A16,COR!$G:$G,0),0)</f>
        <v>0</v>
      </c>
      <c r="C16" s="56">
        <f>IFERROR(INDEX(COR!$D:$D,B16),"")</f>
        <v>0</v>
      </c>
      <c r="D16" s="57">
        <f>IFERROR(INDEX(COR!$C:$C,B16),"")</f>
        <v>0</v>
      </c>
      <c r="E16" s="58">
        <f>IFERROR(BDP(C16,"BID_SIZE"),"")</f>
        <v>0</v>
      </c>
      <c r="F16" s="59">
        <f>IFERROR(BDP(C16,"PX_BID"),"")</f>
        <v>0</v>
      </c>
      <c r="G16" s="59">
        <f>IFERROR(BDP(C16,"PX_ASK"),"")</f>
        <v>0</v>
      </c>
      <c r="H16" s="58">
        <f>IFERROR(BDP(C16,"ASK_SIZE"),"")</f>
        <v>0</v>
      </c>
      <c r="I16" s="58">
        <f>IFERROR(BDP(C16,"VOLUME"),"")</f>
        <v>0</v>
      </c>
      <c r="J16" s="59">
        <f>IFERROR(BDP(C16,"PX_LAST"),"")</f>
        <v>0</v>
      </c>
      <c r="K16" s="57">
        <f>IFERROR(BDP(C16,"LAST_UPDATE_DT_EXCH_TZ"),"")</f>
        <v>0</v>
      </c>
      <c r="L16" s="60">
        <f>IFERROR(INDEX(COR!$B:$B,B16),"")</f>
        <v>0</v>
      </c>
      <c r="AC16" s="25">
        <f>IFERROR(AVERAGE(AG16:BC16),"")</f>
        <v>0</v>
      </c>
      <c r="AD16" s="25">
        <f>IFERROR(STDEV(AG16:BC16),"")</f>
        <v>0</v>
      </c>
      <c r="AE16" s="26">
        <f>IFERROR(IF(AD16=0,"",(J16-AC16)/AD16),"")</f>
        <v>0</v>
      </c>
      <c r="AG16" s="27">
        <f>IFERROR(BDH(C16,"PX_LAST",AG$5,AG$5),"")</f>
        <v>0</v>
      </c>
      <c r="AH16" s="27">
        <f>IFERROR(BDH(C16,"PX_LAST",AH$5,AH$5),"")</f>
        <v>0</v>
      </c>
      <c r="AI16" s="27">
        <f>IFERROR(BDH(C16,"PX_LAST",AI$5,AI$5),"")</f>
        <v>0</v>
      </c>
      <c r="AJ16" s="27">
        <f>IFERROR(BDH(C16,"PX_LAST",AJ$5,AJ$5),"")</f>
        <v>0</v>
      </c>
      <c r="AK16" s="27">
        <f>IFERROR(BDH(C16,"PX_LAST",AK$5,AK$5),"")</f>
        <v>0</v>
      </c>
      <c r="AL16" s="27">
        <f>IFERROR(BDH(C16,"PX_LAST",AL$5,AL$5),"")</f>
        <v>0</v>
      </c>
      <c r="AM16" s="27">
        <f>IFERROR(BDH(C16,"PX_LAST",AM$5,AM$5),"")</f>
        <v>0</v>
      </c>
      <c r="AN16" s="27">
        <f>IFERROR(BDH(C16,"PX_LAST",AN$5,AN$5),"")</f>
        <v>0</v>
      </c>
      <c r="AO16" s="27">
        <f>IFERROR(BDH(C16,"PX_LAST",AO$5,AO$5),"")</f>
        <v>0</v>
      </c>
      <c r="AP16" s="27">
        <f>IFERROR(BDH(C16,"PX_LAST",AP$5,AP$5),"")</f>
        <v>0</v>
      </c>
      <c r="AQ16" s="27">
        <f>IFERROR(BDH(C16,"PX_LAST",AQ$5,AQ$5),"")</f>
        <v>0</v>
      </c>
      <c r="AR16" s="27">
        <f>IFERROR(BDH(C16,"PX_LAST",AR$5,AR$5),"")</f>
        <v>0</v>
      </c>
      <c r="AS16" s="27">
        <f>IFERROR(BDH(C16,"PX_LAST",AS$5,AS$5),"")</f>
        <v>0</v>
      </c>
      <c r="AT16" s="27">
        <f>IFERROR(BDH(C16,"PX_LAST",AT$5,AT$5),"")</f>
        <v>0</v>
      </c>
      <c r="AU16" s="27">
        <f>IFERROR(BDH(C16,"PX_LAST",AU$5,AU$5),"")</f>
        <v>0</v>
      </c>
      <c r="AV16" s="27">
        <f>IFERROR(BDH(C16,"PX_LAST",AV$5,AV$5),"")</f>
        <v>0</v>
      </c>
      <c r="AW16" s="27">
        <f>IFERROR(BDH(C16,"PX_LAST",AW$5,AW$5),"")</f>
        <v>0</v>
      </c>
      <c r="AX16" s="27">
        <f>IFERROR(BDH(C16,"PX_LAST",AX$5,AX$5),"")</f>
        <v>0</v>
      </c>
      <c r="AY16" s="27">
        <f>IFERROR(BDH(C16,"PX_LAST",AY$5,AY$5),"")</f>
        <v>0</v>
      </c>
      <c r="AZ16" s="27">
        <f>IFERROR(BDH(C16,"PX_LAST",AZ$5,AZ$5),"")</f>
        <v>0</v>
      </c>
      <c r="BA16" s="27">
        <f>IFERROR(BDH(C16,"PX_LAST",BA$5,BA$5),"")</f>
        <v>0</v>
      </c>
      <c r="BB16" s="27">
        <f>IFERROR(BDH(C16,"PX_LAST",BB$5,BB$5),"")</f>
        <v>0</v>
      </c>
      <c r="BC16" s="27">
        <f>IFERROR(BDH(C16,"PX_LAST",BC$5,BC$5),"")</f>
        <v>0</v>
      </c>
    </row>
    <row r="17" spans="1:55" ht="20" customHeight="1">
      <c r="A17">
        <f>IFERROR(LARGE(COR!$G:$G,12),0)</f>
        <v>0</v>
      </c>
      <c r="B17">
        <f>IFERROR(MATCH(A17,COR!$G:$G,0),0)</f>
        <v>0</v>
      </c>
      <c r="C17" s="56">
        <f>IFERROR(INDEX(COR!$D:$D,B17),"")</f>
        <v>0</v>
      </c>
      <c r="D17" s="57">
        <f>IFERROR(INDEX(COR!$C:$C,B17),"")</f>
        <v>0</v>
      </c>
      <c r="E17" s="58">
        <f>IFERROR(BDP(C17,"BID_SIZE"),"")</f>
        <v>0</v>
      </c>
      <c r="F17" s="59">
        <f>IFERROR(BDP(C17,"PX_BID"),"")</f>
        <v>0</v>
      </c>
      <c r="G17" s="59">
        <f>IFERROR(BDP(C17,"PX_ASK"),"")</f>
        <v>0</v>
      </c>
      <c r="H17" s="58">
        <f>IFERROR(BDP(C17,"ASK_SIZE"),"")</f>
        <v>0</v>
      </c>
      <c r="I17" s="58">
        <f>IFERROR(BDP(C17,"VOLUME"),"")</f>
        <v>0</v>
      </c>
      <c r="J17" s="59">
        <f>IFERROR(BDP(C17,"PX_LAST"),"")</f>
        <v>0</v>
      </c>
      <c r="K17" s="57">
        <f>IFERROR(BDP(C17,"LAST_UPDATE_DT_EXCH_TZ"),"")</f>
        <v>0</v>
      </c>
      <c r="L17" s="60">
        <f>IFERROR(INDEX(COR!$B:$B,B17),"")</f>
        <v>0</v>
      </c>
      <c r="AC17" s="25">
        <f>IFERROR(AVERAGE(AG17:BC17),"")</f>
        <v>0</v>
      </c>
      <c r="AD17" s="25">
        <f>IFERROR(STDEV(AG17:BC17),"")</f>
        <v>0</v>
      </c>
      <c r="AE17" s="26">
        <f>IFERROR(IF(AD17=0,"",(J17-AC17)/AD17),"")</f>
        <v>0</v>
      </c>
      <c r="AG17" s="27">
        <f>IFERROR(BDH(C17,"PX_LAST",AG$5,AG$5),"")</f>
        <v>0</v>
      </c>
      <c r="AH17" s="27">
        <f>IFERROR(BDH(C17,"PX_LAST",AH$5,AH$5),"")</f>
        <v>0</v>
      </c>
      <c r="AI17" s="27">
        <f>IFERROR(BDH(C17,"PX_LAST",AI$5,AI$5),"")</f>
        <v>0</v>
      </c>
      <c r="AJ17" s="27">
        <f>IFERROR(BDH(C17,"PX_LAST",AJ$5,AJ$5),"")</f>
        <v>0</v>
      </c>
      <c r="AK17" s="27">
        <f>IFERROR(BDH(C17,"PX_LAST",AK$5,AK$5),"")</f>
        <v>0</v>
      </c>
      <c r="AL17" s="27">
        <f>IFERROR(BDH(C17,"PX_LAST",AL$5,AL$5),"")</f>
        <v>0</v>
      </c>
      <c r="AM17" s="27">
        <f>IFERROR(BDH(C17,"PX_LAST",AM$5,AM$5),"")</f>
        <v>0</v>
      </c>
      <c r="AN17" s="27">
        <f>IFERROR(BDH(C17,"PX_LAST",AN$5,AN$5),"")</f>
        <v>0</v>
      </c>
      <c r="AO17" s="27">
        <f>IFERROR(BDH(C17,"PX_LAST",AO$5,AO$5),"")</f>
        <v>0</v>
      </c>
      <c r="AP17" s="27">
        <f>IFERROR(BDH(C17,"PX_LAST",AP$5,AP$5),"")</f>
        <v>0</v>
      </c>
      <c r="AQ17" s="27">
        <f>IFERROR(BDH(C17,"PX_LAST",AQ$5,AQ$5),"")</f>
        <v>0</v>
      </c>
      <c r="AR17" s="27">
        <f>IFERROR(BDH(C17,"PX_LAST",AR$5,AR$5),"")</f>
        <v>0</v>
      </c>
      <c r="AS17" s="27">
        <f>IFERROR(BDH(C17,"PX_LAST",AS$5,AS$5),"")</f>
        <v>0</v>
      </c>
      <c r="AT17" s="27">
        <f>IFERROR(BDH(C17,"PX_LAST",AT$5,AT$5),"")</f>
        <v>0</v>
      </c>
      <c r="AU17" s="27">
        <f>IFERROR(BDH(C17,"PX_LAST",AU$5,AU$5),"")</f>
        <v>0</v>
      </c>
      <c r="AV17" s="27">
        <f>IFERROR(BDH(C17,"PX_LAST",AV$5,AV$5),"")</f>
        <v>0</v>
      </c>
      <c r="AW17" s="27">
        <f>IFERROR(BDH(C17,"PX_LAST",AW$5,AW$5),"")</f>
        <v>0</v>
      </c>
      <c r="AX17" s="27">
        <f>IFERROR(BDH(C17,"PX_LAST",AX$5,AX$5),"")</f>
        <v>0</v>
      </c>
      <c r="AY17" s="27">
        <f>IFERROR(BDH(C17,"PX_LAST",AY$5,AY$5),"")</f>
        <v>0</v>
      </c>
      <c r="AZ17" s="27">
        <f>IFERROR(BDH(C17,"PX_LAST",AZ$5,AZ$5),"")</f>
        <v>0</v>
      </c>
      <c r="BA17" s="27">
        <f>IFERROR(BDH(C17,"PX_LAST",BA$5,BA$5),"")</f>
        <v>0</v>
      </c>
      <c r="BB17" s="27">
        <f>IFERROR(BDH(C17,"PX_LAST",BB$5,BB$5),"")</f>
        <v>0</v>
      </c>
      <c r="BC17" s="27">
        <f>IFERROR(BDH(C17,"PX_LAST",BC$5,BC$5),"")</f>
        <v>0</v>
      </c>
    </row>
    <row r="18" spans="1:55" ht="20" customHeight="1">
      <c r="A18">
        <f>IFERROR(LARGE(COR!$G:$G,13),0)</f>
        <v>0</v>
      </c>
      <c r="B18">
        <f>IFERROR(MATCH(A18,COR!$G:$G,0),0)</f>
        <v>0</v>
      </c>
      <c r="C18" s="56">
        <f>IFERROR(INDEX(COR!$D:$D,B18),"")</f>
        <v>0</v>
      </c>
      <c r="D18" s="57">
        <f>IFERROR(INDEX(COR!$C:$C,B18),"")</f>
        <v>0</v>
      </c>
      <c r="E18" s="58">
        <f>IFERROR(BDP(C18,"BID_SIZE"),"")</f>
        <v>0</v>
      </c>
      <c r="F18" s="59">
        <f>IFERROR(BDP(C18,"PX_BID"),"")</f>
        <v>0</v>
      </c>
      <c r="G18" s="59">
        <f>IFERROR(BDP(C18,"PX_ASK"),"")</f>
        <v>0</v>
      </c>
      <c r="H18" s="58">
        <f>IFERROR(BDP(C18,"ASK_SIZE"),"")</f>
        <v>0</v>
      </c>
      <c r="I18" s="58">
        <f>IFERROR(BDP(C18,"VOLUME"),"")</f>
        <v>0</v>
      </c>
      <c r="J18" s="59">
        <f>IFERROR(BDP(C18,"PX_LAST"),"")</f>
        <v>0</v>
      </c>
      <c r="K18" s="57">
        <f>IFERROR(BDP(C18,"LAST_UPDATE_DT_EXCH_TZ"),"")</f>
        <v>0</v>
      </c>
      <c r="L18" s="60">
        <f>IFERROR(INDEX(COR!$B:$B,B18),"")</f>
        <v>0</v>
      </c>
      <c r="AC18" s="25">
        <f>IFERROR(AVERAGE(AG18:BC18),"")</f>
        <v>0</v>
      </c>
      <c r="AD18" s="25">
        <f>IFERROR(STDEV(AG18:BC18),"")</f>
        <v>0</v>
      </c>
      <c r="AE18" s="26">
        <f>IFERROR(IF(AD18=0,"",(J18-AC18)/AD18),"")</f>
        <v>0</v>
      </c>
      <c r="AG18" s="27">
        <f>IFERROR(BDH(C18,"PX_LAST",AG$5,AG$5),"")</f>
        <v>0</v>
      </c>
      <c r="AH18" s="27">
        <f>IFERROR(BDH(C18,"PX_LAST",AH$5,AH$5),"")</f>
        <v>0</v>
      </c>
      <c r="AI18" s="27">
        <f>IFERROR(BDH(C18,"PX_LAST",AI$5,AI$5),"")</f>
        <v>0</v>
      </c>
      <c r="AJ18" s="27">
        <f>IFERROR(BDH(C18,"PX_LAST",AJ$5,AJ$5),"")</f>
        <v>0</v>
      </c>
      <c r="AK18" s="27">
        <f>IFERROR(BDH(C18,"PX_LAST",AK$5,AK$5),"")</f>
        <v>0</v>
      </c>
      <c r="AL18" s="27">
        <f>IFERROR(BDH(C18,"PX_LAST",AL$5,AL$5),"")</f>
        <v>0</v>
      </c>
      <c r="AM18" s="27">
        <f>IFERROR(BDH(C18,"PX_LAST",AM$5,AM$5),"")</f>
        <v>0</v>
      </c>
      <c r="AN18" s="27">
        <f>IFERROR(BDH(C18,"PX_LAST",AN$5,AN$5),"")</f>
        <v>0</v>
      </c>
      <c r="AO18" s="27">
        <f>IFERROR(BDH(C18,"PX_LAST",AO$5,AO$5),"")</f>
        <v>0</v>
      </c>
      <c r="AP18" s="27">
        <f>IFERROR(BDH(C18,"PX_LAST",AP$5,AP$5),"")</f>
        <v>0</v>
      </c>
      <c r="AQ18" s="27">
        <f>IFERROR(BDH(C18,"PX_LAST",AQ$5,AQ$5),"")</f>
        <v>0</v>
      </c>
      <c r="AR18" s="27">
        <f>IFERROR(BDH(C18,"PX_LAST",AR$5,AR$5),"")</f>
        <v>0</v>
      </c>
      <c r="AS18" s="27">
        <f>IFERROR(BDH(C18,"PX_LAST",AS$5,AS$5),"")</f>
        <v>0</v>
      </c>
      <c r="AT18" s="27">
        <f>IFERROR(BDH(C18,"PX_LAST",AT$5,AT$5),"")</f>
        <v>0</v>
      </c>
      <c r="AU18" s="27">
        <f>IFERROR(BDH(C18,"PX_LAST",AU$5,AU$5),"")</f>
        <v>0</v>
      </c>
      <c r="AV18" s="27">
        <f>IFERROR(BDH(C18,"PX_LAST",AV$5,AV$5),"")</f>
        <v>0</v>
      </c>
      <c r="AW18" s="27">
        <f>IFERROR(BDH(C18,"PX_LAST",AW$5,AW$5),"")</f>
        <v>0</v>
      </c>
      <c r="AX18" s="27">
        <f>IFERROR(BDH(C18,"PX_LAST",AX$5,AX$5),"")</f>
        <v>0</v>
      </c>
      <c r="AY18" s="27">
        <f>IFERROR(BDH(C18,"PX_LAST",AY$5,AY$5),"")</f>
        <v>0</v>
      </c>
      <c r="AZ18" s="27">
        <f>IFERROR(BDH(C18,"PX_LAST",AZ$5,AZ$5),"")</f>
        <v>0</v>
      </c>
      <c r="BA18" s="27">
        <f>IFERROR(BDH(C18,"PX_LAST",BA$5,BA$5),"")</f>
        <v>0</v>
      </c>
      <c r="BB18" s="27">
        <f>IFERROR(BDH(C18,"PX_LAST",BB$5,BB$5),"")</f>
        <v>0</v>
      </c>
      <c r="BC18" s="27">
        <f>IFERROR(BDH(C18,"PX_LAST",BC$5,BC$5),"")</f>
        <v>0</v>
      </c>
    </row>
    <row r="19" spans="1:55" ht="20" customHeight="1">
      <c r="A19">
        <f>IFERROR(LARGE(COR!$G:$G,14),0)</f>
        <v>0</v>
      </c>
      <c r="B19">
        <f>IFERROR(MATCH(A19,COR!$G:$G,0),0)</f>
        <v>0</v>
      </c>
      <c r="C19" s="56">
        <f>IFERROR(INDEX(COR!$D:$D,B19),"")</f>
        <v>0</v>
      </c>
      <c r="D19" s="57">
        <f>IFERROR(INDEX(COR!$C:$C,B19),"")</f>
        <v>0</v>
      </c>
      <c r="E19" s="58">
        <f>IFERROR(BDP(C19,"BID_SIZE"),"")</f>
        <v>0</v>
      </c>
      <c r="F19" s="59">
        <f>IFERROR(BDP(C19,"PX_BID"),"")</f>
        <v>0</v>
      </c>
      <c r="G19" s="59">
        <f>IFERROR(BDP(C19,"PX_ASK"),"")</f>
        <v>0</v>
      </c>
      <c r="H19" s="58">
        <f>IFERROR(BDP(C19,"ASK_SIZE"),"")</f>
        <v>0</v>
      </c>
      <c r="I19" s="58">
        <f>IFERROR(BDP(C19,"VOLUME"),"")</f>
        <v>0</v>
      </c>
      <c r="J19" s="59">
        <f>IFERROR(BDP(C19,"PX_LAST"),"")</f>
        <v>0</v>
      </c>
      <c r="K19" s="57">
        <f>IFERROR(BDP(C19,"LAST_UPDATE_DT_EXCH_TZ"),"")</f>
        <v>0</v>
      </c>
      <c r="L19" s="60">
        <f>IFERROR(INDEX(COR!$B:$B,B19),"")</f>
        <v>0</v>
      </c>
      <c r="AC19" s="25">
        <f>IFERROR(AVERAGE(AG19:BC19),"")</f>
        <v>0</v>
      </c>
      <c r="AD19" s="25">
        <f>IFERROR(STDEV(AG19:BC19),"")</f>
        <v>0</v>
      </c>
      <c r="AE19" s="26">
        <f>IFERROR(IF(AD19=0,"",(J19-AC19)/AD19),"")</f>
        <v>0</v>
      </c>
      <c r="AG19" s="27">
        <f>IFERROR(BDH(C19,"PX_LAST",AG$5,AG$5),"")</f>
        <v>0</v>
      </c>
      <c r="AH19" s="27">
        <f>IFERROR(BDH(C19,"PX_LAST",AH$5,AH$5),"")</f>
        <v>0</v>
      </c>
      <c r="AI19" s="27">
        <f>IFERROR(BDH(C19,"PX_LAST",AI$5,AI$5),"")</f>
        <v>0</v>
      </c>
      <c r="AJ19" s="27">
        <f>IFERROR(BDH(C19,"PX_LAST",AJ$5,AJ$5),"")</f>
        <v>0</v>
      </c>
      <c r="AK19" s="27">
        <f>IFERROR(BDH(C19,"PX_LAST",AK$5,AK$5),"")</f>
        <v>0</v>
      </c>
      <c r="AL19" s="27">
        <f>IFERROR(BDH(C19,"PX_LAST",AL$5,AL$5),"")</f>
        <v>0</v>
      </c>
      <c r="AM19" s="27">
        <f>IFERROR(BDH(C19,"PX_LAST",AM$5,AM$5),"")</f>
        <v>0</v>
      </c>
      <c r="AN19" s="27">
        <f>IFERROR(BDH(C19,"PX_LAST",AN$5,AN$5),"")</f>
        <v>0</v>
      </c>
      <c r="AO19" s="27">
        <f>IFERROR(BDH(C19,"PX_LAST",AO$5,AO$5),"")</f>
        <v>0</v>
      </c>
      <c r="AP19" s="27">
        <f>IFERROR(BDH(C19,"PX_LAST",AP$5,AP$5),"")</f>
        <v>0</v>
      </c>
      <c r="AQ19" s="27">
        <f>IFERROR(BDH(C19,"PX_LAST",AQ$5,AQ$5),"")</f>
        <v>0</v>
      </c>
      <c r="AR19" s="27">
        <f>IFERROR(BDH(C19,"PX_LAST",AR$5,AR$5),"")</f>
        <v>0</v>
      </c>
      <c r="AS19" s="27">
        <f>IFERROR(BDH(C19,"PX_LAST",AS$5,AS$5),"")</f>
        <v>0</v>
      </c>
      <c r="AT19" s="27">
        <f>IFERROR(BDH(C19,"PX_LAST",AT$5,AT$5),"")</f>
        <v>0</v>
      </c>
      <c r="AU19" s="27">
        <f>IFERROR(BDH(C19,"PX_LAST",AU$5,AU$5),"")</f>
        <v>0</v>
      </c>
      <c r="AV19" s="27">
        <f>IFERROR(BDH(C19,"PX_LAST",AV$5,AV$5),"")</f>
        <v>0</v>
      </c>
      <c r="AW19" s="27">
        <f>IFERROR(BDH(C19,"PX_LAST",AW$5,AW$5),"")</f>
        <v>0</v>
      </c>
      <c r="AX19" s="27">
        <f>IFERROR(BDH(C19,"PX_LAST",AX$5,AX$5),"")</f>
        <v>0</v>
      </c>
      <c r="AY19" s="27">
        <f>IFERROR(BDH(C19,"PX_LAST",AY$5,AY$5),"")</f>
        <v>0</v>
      </c>
      <c r="AZ19" s="27">
        <f>IFERROR(BDH(C19,"PX_LAST",AZ$5,AZ$5),"")</f>
        <v>0</v>
      </c>
      <c r="BA19" s="27">
        <f>IFERROR(BDH(C19,"PX_LAST",BA$5,BA$5),"")</f>
        <v>0</v>
      </c>
      <c r="BB19" s="27">
        <f>IFERROR(BDH(C19,"PX_LAST",BB$5,BB$5),"")</f>
        <v>0</v>
      </c>
      <c r="BC19" s="27">
        <f>IFERROR(BDH(C19,"PX_LAST",BC$5,BC$5),"")</f>
        <v>0</v>
      </c>
    </row>
    <row r="20" spans="1:55" ht="20" customHeight="1">
      <c r="A20">
        <f>IFERROR(LARGE(COR!$G:$G,15),0)</f>
        <v>0</v>
      </c>
      <c r="B20">
        <f>IFERROR(MATCH(A20,COR!$G:$G,0),0)</f>
        <v>0</v>
      </c>
      <c r="C20" s="56">
        <f>IFERROR(INDEX(COR!$D:$D,B20),"")</f>
        <v>0</v>
      </c>
      <c r="D20" s="57">
        <f>IFERROR(INDEX(COR!$C:$C,B20),"")</f>
        <v>0</v>
      </c>
      <c r="E20" s="58">
        <f>IFERROR(BDP(C20,"BID_SIZE"),"")</f>
        <v>0</v>
      </c>
      <c r="F20" s="59">
        <f>IFERROR(BDP(C20,"PX_BID"),"")</f>
        <v>0</v>
      </c>
      <c r="G20" s="59">
        <f>IFERROR(BDP(C20,"PX_ASK"),"")</f>
        <v>0</v>
      </c>
      <c r="H20" s="58">
        <f>IFERROR(BDP(C20,"ASK_SIZE"),"")</f>
        <v>0</v>
      </c>
      <c r="I20" s="58">
        <f>IFERROR(BDP(C20,"VOLUME"),"")</f>
        <v>0</v>
      </c>
      <c r="J20" s="59">
        <f>IFERROR(BDP(C20,"PX_LAST"),"")</f>
        <v>0</v>
      </c>
      <c r="K20" s="57">
        <f>IFERROR(BDP(C20,"LAST_UPDATE_DT_EXCH_TZ"),"")</f>
        <v>0</v>
      </c>
      <c r="L20" s="60">
        <f>IFERROR(INDEX(COR!$B:$B,B20),"")</f>
        <v>0</v>
      </c>
      <c r="AC20" s="25">
        <f>IFERROR(AVERAGE(AG20:BC20),"")</f>
        <v>0</v>
      </c>
      <c r="AD20" s="25">
        <f>IFERROR(STDEV(AG20:BC20),"")</f>
        <v>0</v>
      </c>
      <c r="AE20" s="26">
        <f>IFERROR(IF(AD20=0,"",(J20-AC20)/AD20),"")</f>
        <v>0</v>
      </c>
      <c r="AG20" s="27">
        <f>IFERROR(BDH(C20,"PX_LAST",AG$5,AG$5),"")</f>
        <v>0</v>
      </c>
      <c r="AH20" s="27">
        <f>IFERROR(BDH(C20,"PX_LAST",AH$5,AH$5),"")</f>
        <v>0</v>
      </c>
      <c r="AI20" s="27">
        <f>IFERROR(BDH(C20,"PX_LAST",AI$5,AI$5),"")</f>
        <v>0</v>
      </c>
      <c r="AJ20" s="27">
        <f>IFERROR(BDH(C20,"PX_LAST",AJ$5,AJ$5),"")</f>
        <v>0</v>
      </c>
      <c r="AK20" s="27">
        <f>IFERROR(BDH(C20,"PX_LAST",AK$5,AK$5),"")</f>
        <v>0</v>
      </c>
      <c r="AL20" s="27">
        <f>IFERROR(BDH(C20,"PX_LAST",AL$5,AL$5),"")</f>
        <v>0</v>
      </c>
      <c r="AM20" s="27">
        <f>IFERROR(BDH(C20,"PX_LAST",AM$5,AM$5),"")</f>
        <v>0</v>
      </c>
      <c r="AN20" s="27">
        <f>IFERROR(BDH(C20,"PX_LAST",AN$5,AN$5),"")</f>
        <v>0</v>
      </c>
      <c r="AO20" s="27">
        <f>IFERROR(BDH(C20,"PX_LAST",AO$5,AO$5),"")</f>
        <v>0</v>
      </c>
      <c r="AP20" s="27">
        <f>IFERROR(BDH(C20,"PX_LAST",AP$5,AP$5),"")</f>
        <v>0</v>
      </c>
      <c r="AQ20" s="27">
        <f>IFERROR(BDH(C20,"PX_LAST",AQ$5,AQ$5),"")</f>
        <v>0</v>
      </c>
      <c r="AR20" s="27">
        <f>IFERROR(BDH(C20,"PX_LAST",AR$5,AR$5),"")</f>
        <v>0</v>
      </c>
      <c r="AS20" s="27">
        <f>IFERROR(BDH(C20,"PX_LAST",AS$5,AS$5),"")</f>
        <v>0</v>
      </c>
      <c r="AT20" s="27">
        <f>IFERROR(BDH(C20,"PX_LAST",AT$5,AT$5),"")</f>
        <v>0</v>
      </c>
      <c r="AU20" s="27">
        <f>IFERROR(BDH(C20,"PX_LAST",AU$5,AU$5),"")</f>
        <v>0</v>
      </c>
      <c r="AV20" s="27">
        <f>IFERROR(BDH(C20,"PX_LAST",AV$5,AV$5),"")</f>
        <v>0</v>
      </c>
      <c r="AW20" s="27">
        <f>IFERROR(BDH(C20,"PX_LAST",AW$5,AW$5),"")</f>
        <v>0</v>
      </c>
      <c r="AX20" s="27">
        <f>IFERROR(BDH(C20,"PX_LAST",AX$5,AX$5),"")</f>
        <v>0</v>
      </c>
      <c r="AY20" s="27">
        <f>IFERROR(BDH(C20,"PX_LAST",AY$5,AY$5),"")</f>
        <v>0</v>
      </c>
      <c r="AZ20" s="27">
        <f>IFERROR(BDH(C20,"PX_LAST",AZ$5,AZ$5),"")</f>
        <v>0</v>
      </c>
      <c r="BA20" s="27">
        <f>IFERROR(BDH(C20,"PX_LAST",BA$5,BA$5),"")</f>
        <v>0</v>
      </c>
      <c r="BB20" s="27">
        <f>IFERROR(BDH(C20,"PX_LAST",BB$5,BB$5),"")</f>
        <v>0</v>
      </c>
      <c r="BC20" s="27">
        <f>IFERROR(BDH(C20,"PX_LAST",BC$5,BC$5),"")</f>
        <v>0</v>
      </c>
    </row>
    <row r="22" spans="1:55">
      <c r="C22" s="28" t="s">
        <v>1573</v>
      </c>
    </row>
  </sheetData>
  <mergeCells count="1">
    <mergeCell ref="A1:B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Top15'!AG20:BC20</xm:f>
              <xm:sqref>AF20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Top15'!AG19:BC19</xm:f>
              <xm:sqref>AF19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Top15'!AG18:BC18</xm:f>
              <xm:sqref>AF18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Top15'!AG17:BC17</xm:f>
              <xm:sqref>AF17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Top15'!AG16:BC16</xm:f>
              <xm:sqref>AF16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Top15'!AG15:BC15</xm:f>
              <xm:sqref>AF15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Top15'!AG14:BC14</xm:f>
              <xm:sqref>AF14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Top15'!AG13:BC13</xm:f>
              <xm:sqref>AF13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Top15'!AG12:BC12</xm:f>
              <xm:sqref>AF12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Top15'!AG11:BC11</xm:f>
              <xm:sqref>AF11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Top15'!AG10:BC10</xm:f>
              <xm:sqref>AF10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Top15'!AG9:BC9</xm:f>
              <xm:sqref>AF9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Top15'!AG8:BC8</xm:f>
              <xm:sqref>AF8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Top15'!AG7:BC7</xm:f>
              <xm:sqref>AF7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Top15'!AG6:BC6</xm:f>
              <xm:sqref>AF6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61" t="s">
        <v>1574</v>
      </c>
    </row>
    <row r="2" spans="2:2">
      <c r="B2" s="62"/>
    </row>
    <row r="3" spans="2:2" ht="16" customHeight="1">
      <c r="B3" s="63" t="s">
        <v>1575</v>
      </c>
    </row>
    <row r="4" spans="2:2">
      <c r="B4" s="62" t="s">
        <v>1576</v>
      </c>
    </row>
    <row r="5" spans="2:2">
      <c r="B5" s="62" t="s">
        <v>1577</v>
      </c>
    </row>
    <row r="6" spans="2:2">
      <c r="B6" s="62" t="s">
        <v>1578</v>
      </c>
    </row>
    <row r="7" spans="2:2">
      <c r="B7" s="62" t="s">
        <v>1579</v>
      </c>
    </row>
    <row r="8" spans="2:2">
      <c r="B8" s="62" t="s">
        <v>1580</v>
      </c>
    </row>
    <row r="9" spans="2:2">
      <c r="B9" s="62"/>
    </row>
    <row r="10" spans="2:2" ht="16" customHeight="1">
      <c r="B10" s="63" t="s">
        <v>1581</v>
      </c>
    </row>
    <row r="11" spans="2:2">
      <c r="B11" s="62" t="s">
        <v>1582</v>
      </c>
    </row>
    <row r="12" spans="2:2">
      <c r="B12" s="62" t="s">
        <v>1583</v>
      </c>
    </row>
    <row r="13" spans="2:2">
      <c r="B13" s="62" t="s">
        <v>1584</v>
      </c>
    </row>
    <row r="14" spans="2:2">
      <c r="B14" s="62" t="s">
        <v>1585</v>
      </c>
    </row>
    <row r="15" spans="2:2">
      <c r="B15" s="62" t="s">
        <v>1586</v>
      </c>
    </row>
    <row r="16" spans="2:2">
      <c r="B16" s="62" t="s">
        <v>1587</v>
      </c>
    </row>
    <row r="17" spans="2:2">
      <c r="B17" s="62" t="s">
        <v>1588</v>
      </c>
    </row>
    <row r="18" spans="2:2">
      <c r="B18" s="62" t="s">
        <v>1589</v>
      </c>
    </row>
    <row r="19" spans="2:2">
      <c r="B19" s="62" t="s">
        <v>1590</v>
      </c>
    </row>
    <row r="20" spans="2:2">
      <c r="B20" s="62" t="s">
        <v>1591</v>
      </c>
    </row>
    <row r="21" spans="2:2">
      <c r="B21" s="62" t="s">
        <v>1592</v>
      </c>
    </row>
    <row r="22" spans="2:2">
      <c r="B22" s="62"/>
    </row>
    <row r="23" spans="2:2" ht="16" customHeight="1">
      <c r="B23" s="63" t="s">
        <v>1593</v>
      </c>
    </row>
    <row r="24" spans="2:2">
      <c r="B24" s="62" t="s">
        <v>1594</v>
      </c>
    </row>
    <row r="25" spans="2:2">
      <c r="B25" s="62" t="s">
        <v>1595</v>
      </c>
    </row>
    <row r="26" spans="2:2">
      <c r="B26" s="62" t="s">
        <v>1596</v>
      </c>
    </row>
    <row r="27" spans="2:2">
      <c r="B27" s="62" t="s">
        <v>1597</v>
      </c>
    </row>
    <row r="28" spans="2:2">
      <c r="B28" s="62" t="s">
        <v>1598</v>
      </c>
    </row>
    <row r="29" spans="2:2">
      <c r="B29" s="62" t="s">
        <v>1599</v>
      </c>
    </row>
    <row r="30" spans="2:2">
      <c r="B30" s="62"/>
    </row>
    <row r="31" spans="2:2" ht="16" customHeight="1">
      <c r="B31" s="63" t="s">
        <v>1600</v>
      </c>
    </row>
    <row r="32" spans="2:2">
      <c r="B32" s="62" t="s">
        <v>1601</v>
      </c>
    </row>
    <row r="33" spans="2:2">
      <c r="B33" s="62" t="s">
        <v>1602</v>
      </c>
    </row>
    <row r="34" spans="2:2">
      <c r="B34" s="62" t="s">
        <v>1603</v>
      </c>
    </row>
    <row r="35" spans="2:2">
      <c r="B35" s="62" t="s">
        <v>1604</v>
      </c>
    </row>
    <row r="36" spans="2:2">
      <c r="B36" s="62" t="s">
        <v>1605</v>
      </c>
    </row>
    <row r="37" spans="2:2">
      <c r="B37" s="62" t="s">
        <v>1606</v>
      </c>
    </row>
    <row r="38" spans="2:2">
      <c r="B38" s="62"/>
    </row>
    <row r="39" spans="2:2">
      <c r="B39" s="62" t="s">
        <v>1607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SFI</vt:lpstr>
      <vt:lpstr>ER</vt:lpstr>
      <vt:lpstr>IR</vt:lpstr>
      <vt:lpstr>COR</vt:lpstr>
      <vt:lpstr>SFR Top15</vt:lpstr>
      <vt:lpstr>SFI Top15</vt:lpstr>
      <vt:lpstr>ER Top15</vt:lpstr>
      <vt:lpstr>IR Top15</vt:lpstr>
      <vt:lpstr>COR Top15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2026-04-21T12:36:19Z</dcterms:created>
  <dcterms:modified xsi:type="dcterms:W3CDTF">2026-04-21T12:36:19Z</dcterms:modified>
</cp:coreProperties>
</file>