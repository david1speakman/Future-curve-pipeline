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0" sheetId="3" r:id="rId3"/>
    <sheet name="SFI" sheetId="4" r:id="rId4"/>
    <sheet name="SFI Top10" sheetId="5" r:id="rId5"/>
    <sheet name="ER" sheetId="6" r:id="rId6"/>
    <sheet name="ER Top10" sheetId="7" r:id="rId7"/>
    <sheet name="IR" sheetId="8" r:id="rId8"/>
    <sheet name="IR Top10" sheetId="9" r:id="rId9"/>
    <sheet name="COR" sheetId="10" r:id="rId10"/>
    <sheet name="COR Top10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<sst xmlns="http://schemas.openxmlformats.org/spreadsheetml/2006/main" count="9954" uniqueCount="1603">
  <si>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</si>
  <si>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</si>
  <si>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</si>
  <si>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</si>
  <si>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</si>
  <si>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</si>
  <si>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</si>
  <si>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</si>
  <si>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</si>
  <si>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</si>
  <si>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</si>
  <si>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</si>
  <si>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</si>
  <si>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</si>
  <si>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</si>
  <si>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</si>
  <si>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</si>
  <si>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</si>
  <si>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</si>
  <si>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</si>
  <si>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</si>
  <si>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</si>
  <si>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</si>
  <si>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</si>
  <si>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</si>
  <si>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</si>
  <si>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</si>
  <si>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</si>
  <si>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</si>
  <si>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</si>
  <si>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</si>
  <si>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</si>
  <si>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</si>
  <si>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</si>
  <si>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</si>
  <si>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</si>
  <si>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</si>
  <si>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</si>
  <si>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</si>
  <si>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</si>
  <si>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</si>
  <si>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</si>
  <si>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</si>
  <si>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</si>
  <si>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</si>
  <si>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</si>
  <si>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</si>
  <si>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</si>
  <si>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</si>
  <si>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</si>
  <si>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</si>
  <si>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</si>
  <si>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</si>
  <si>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</si>
  <si>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</si>
  <si>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</si>
  <si>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</si>
  <si>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</si>
  <si>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</si>
  <si>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</si>
  <si>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</si>
  <si>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</si>
  <si>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</si>
  <si>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</si>
  <si>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</si>
  <si>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</si>
  <si>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</si>
  <si>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</si>
  <si>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</si>
  <si>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</si>
  <si>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</si>
  <si>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</si>
  <si>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</si>
  <si>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</si>
  <si>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</si>
  <si>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</si>
  <si>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</si>
  <si>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</si>
  <si>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</si>
  <si>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</si>
  <si>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</si>
  <si>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</si>
  <si>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</si>
  <si>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</si>
  <si>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</si>
  <si>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</si>
  <si>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</si>
  <si>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</si>
  <si>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</si>
  <si>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</si>
  <si>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</si>
  <si>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</si>
  <si>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</si>
  <si>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</si>
  <si>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</si>
  <si>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</si>
  <si>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</si>
  <si>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</si>
  <si>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</si>
  <si>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</si>
  <si>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</si>
  <si>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</si>
  <si>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</si>
  <si>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</si>
  <si>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</si>
  <si>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</si>
  <si>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</si>
  <si>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</si>
  <si>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</si>
  <si>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</si>
  <si>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</si>
  <si>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</si>
  <si>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</si>
  <si>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</si>
  <si>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</si>
  <si>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</si>
  <si>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</si>
  <si>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</si>
  <si>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</si>
  <si>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</si>
  <si>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</si>
  <si>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</si>
  <si>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</si>
  <si>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</si>
  <si>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</si>
  <si>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</si>
  <si>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</si>
  <si>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</si>
  <si>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</si>
  <si>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</si>
  <si>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</si>
  <si>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</si>
  <si>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</si>
  <si>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</si>
  <si>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</si>
  <si>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</si>
  <si>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</si>
  <si>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</si>
  <si>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</si>
  <si>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</si>
  <si>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</si>
  <si>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</si>
  <si>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</si>
  <si>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</si>
  <si>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</si>
  <si>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</si>
  <si>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</si>
  <si>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</si>
  <si>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</si>
  <si>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</si>
  <si>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</si>
  <si>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</si>
  <si>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</si>
  <si>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</si>
  <si>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</si>
  <si>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</si>
  <si>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</si>
  <si>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</si>
  <si>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</si>
  <si>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</si>
  <si>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</si>
  <si>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</si>
  <si>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</si>
  <si>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</si>
  <si>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</si>
  <si>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</si>
  <si>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</si>
  <si>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</si>
  <si>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</si>
  <si>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</si>
  <si>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</si>
  <si>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</si>
  <si>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</si>
  <si>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</si>
  <si>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</si>
  <si>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</si>
  <si>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</si>
  <si>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</si>
  <si>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</si>
  <si>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</si>
  <si>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</si>
  <si>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</si>
  <si>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</si>
  <si>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</si>
  <si>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</si>
  <si>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</si>
  <si>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</si>
  <si>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</si>
  <si>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</si>
  <si>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</si>
  <si>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</si>
  <si>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</si>
  <si>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</si>
  <si>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</si>
  <si>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</si>
  <si>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</si>
  <si>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</si>
  <si>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</si>
  <si>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</si>
  <si>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</si>
  <si>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</si>
  <si>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</si>
  <si>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</si>
  <si>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</si>
  <si>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</si>
  <si>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</si>
  <si>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</si>
  <si>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</si>
  <si>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</si>
  <si>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</si>
  <si>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</si>
  <si>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</si>
  <si>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</si>
  <si>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</si>
  <si>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</si>
  <si>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</si>
  <si>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</si>
  <si>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</si>
  <si>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</si>
  <si>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</si>
  <si>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</si>
  <si>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</si>
  <si>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</si>
  <si>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</si>
  <si>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</si>
  <si>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</si>
  <si>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</si>
  <si>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</si>
  <si>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</si>
  <si>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</si>
  <si>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</si>
  <si>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</si>
  <si>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</si>
  <si>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</si>
  <si>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</si>
  <si>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</si>
  <si>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</si>
  <si>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</si>
  <si>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</si>
  <si>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</si>
  <si>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</si>
  <si>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</si>
  <si>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</si>
  <si>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</si>
  <si>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</si>
  <si>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</si>
  <si>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</si>
  <si>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</si>
  <si>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</si>
  <si>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</si>
  <si>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</si>
  <si>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</si>
  <si>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</si>
  <si>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</si>
  <si>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</si>
  <si>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</si>
  <si>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</si>
  <si>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</si>
  <si>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</si>
  <si>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</si>
  <si>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</si>
  <si>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</si>
  <si>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</si>
  <si>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</si>
  <si>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</si>
  <si>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</si>
  <si>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</si>
  <si>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</si>
  <si>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</si>
  <si>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</si>
  <si>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</si>
  <si>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</si>
  <si>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</si>
  <si>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</si>
  <si>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</si>
  <si>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</si>
  <si>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</si>
  <si>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</si>
  <si>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</si>
  <si>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</si>
  <si>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</si>
  <si>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</si>
  <si>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</si>
  <si>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</si>
  <si>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</si>
  <si>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</si>
  <si>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</si>
  <si>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</si>
  <si>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</si>
  <si>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</si>
  <si>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</si>
  <si>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</si>
  <si>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</si>
  <si>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</si>
  <si>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</si>
  <si>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</si>
  <si>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</si>
  <si>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</si>
  <si>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</si>
  <si>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</si>
  <si>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</si>
  <si>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</si>
  <si>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</si>
  <si>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</si>
  <si>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</si>
  <si>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</si>
  <si>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</si>
  <si>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</si>
  <si>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</si>
  <si>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</si>
  <si>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</si>
  <si>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</si>
  <si>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</si>
  <si>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</si>
  <si>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</si>
  <si>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</si>
  <si>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</si>
  <si>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</si>
  <si>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</si>
  <si>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</si>
  <si>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</si>
  <si>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</si>
  <si>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</si>
  <si>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</si>
  <si>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</si>
  <si>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</si>
  <si>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</si>
  <si>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</si>
  <si>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</si>
  <si>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</si>
  <si>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</si>
  <si>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</si>
  <si>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</si>
  <si>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</si>
  <si>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</si>
  <si>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</si>
  <si>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</si>
  <si>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</si>
  <si>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</si>
  <si>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</si>
  <si>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</si>
  <si>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</si>
  <si>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</si>
  <si>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</si>
  <si>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</si>
  <si>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</si>
  <si>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</si>
  <si>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</si>
  <si>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</si>
  <si>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</si>
  <si>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</si>
  <si>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</si>
  <si>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</si>
  <si>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</si>
  <si>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</si>
  <si>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</si>
  <si>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</si>
  <si>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</si>
  <si>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</si>
  <si>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</si>
  <si>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</si>
  <si>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</si>
  <si>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</si>
  <si>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</si>
  <si>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</si>
  <si>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</si>
  <si>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</si>
  <si>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</si>
  <si>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</si>
  <si>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</si>
  <si>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</si>
  <si>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</si>
  <si>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</si>
  <si>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</si>
  <si>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</si>
  <si>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</si>
  <si>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</si>
  <si>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</si>
  <si>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</si>
  <si>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</si>
  <si>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</si>
  <si>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</si>
  <si>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</si>
  <si>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</si>
  <si>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</si>
  <si>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</si>
  <si>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</si>
  <si>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</si>
  <si>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</si>
  <si>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</si>
  <si>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</si>
  <si>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</si>
  <si>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</si>
  <si>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</si>
  <si>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</si>
  <si>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</si>
  <si>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</si>
  <si>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</si>
  <si>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</si>
  <si>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</si>
  <si>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</si>
  <si>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</si>
  <si>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</si>
  <si>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</si>
  <si>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</si>
  <si>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</si>
  <si>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</si>
  <si>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</si>
  <si>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</si>
  <si>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</si>
  <si>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</si>
  <si>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</si>
  <si>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</si>
  <si>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</si>
  <si>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</si>
  <si>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</si>
  <si>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</si>
  <si>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</si>
  <si>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</si>
  <si>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</si>
  <si>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</si>
  <si>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</si>
  <si>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</si>
  <si>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</si>
  <si>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</si>
  <si>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</si>
  <si>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</si>
  <si>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</si>
  <si>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</si>
  <si>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</si>
  <si>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</si>
  <si>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</si>
  <si>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</si>
  <si>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</si>
  <si>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</si>
  <si>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</si>
  <si>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</si>
  <si>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</si>
  <si>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</si>
  <si>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</si>
  <si>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</si>
  <si>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</si>
  <si>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</si>
  <si>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</si>
  <si>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</si>
  <si>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</si>
  <si>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</si>
  <si>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</si>
  <si>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</si>
  <si>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</si>
  <si>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</si>
  <si>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</si>
  <si>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</si>
  <si>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</si>
  <si>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</si>
  <si>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</si>
  <si>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</si>
  <si>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</si>
  <si>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</si>
  <si>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</si>
  <si>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</si>
  <si>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</si>
  <si>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</si>
  <si>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</si>
  <si>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</si>
  <si>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</si>
  <si>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</si>
  <si>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</si>
  <si>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</si>
  <si>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</si>
  <si>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</si>
  <si>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</si>
  <si>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</si>
  <si>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</si>
  <si>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</si>
  <si>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</si>
  <si>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</si>
  <si>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</si>
  <si>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</si>
  <si>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</si>
  <si>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</si>
  <si>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</si>
  <si>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</si>
  <si>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</si>
  <si>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</si>
  <si>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</si>
  <si>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</si>
  <si>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</si>
  <si>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</si>
  <si>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</si>
  <si>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</si>
  <si>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</si>
  <si>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</si>
  <si>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</si>
  <si>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</si>
  <si>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</si>
  <si>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</si>
  <si>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</si>
  <si>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</si>
  <si>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</si>
  <si>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</si>
  <si>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</si>
  <si>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</si>
  <si>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</si>
  <si>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</si>
  <si>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</si>
  <si>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</si>
  <si>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</si>
  <si>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</si>
  <si>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</si>
  <si>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</si>
  <si>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</si>
  <si>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</si>
  <si>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</si>
  <si>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</si>
  <si>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</si>
  <si>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</si>
  <si>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</si>
  <si>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</si>
  <si>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</si>
  <si>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</si>
  <si>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</si>
  <si>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</si>
  <si>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</si>
  <si>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</si>
  <si>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</si>
  <si>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</si>
  <si>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</si>
  <si>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</si>
  <si>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</si>
  <si>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</si>
  <si>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</si>
  <si>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</si>
  <si>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</si>
  <si>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</si>
  <si>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</si>
  <si>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</si>
  <si>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</si>
  <si>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</si>
  <si>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</si>
  <si>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</si>
  <si>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</si>
  <si>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</si>
  <si>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</si>
  <si>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</si>
  <si>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</si>
  <si>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</si>
  <si>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</si>
  <si>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</si>
  <si>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</si>
  <si>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</si>
  <si>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</si>
  <si>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</si>
  <si>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</si>
  <si>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</si>
  <si>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</si>
  <si>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</si>
  <si>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</si>
  <si>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</si>
  <si>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</si>
  <si>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</si>
  <si>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</si>
  <si>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</si>
  <si>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</si>
  <si>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</si>
  <si>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</si>
  <si>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</si>
  <si>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</si>
  <si>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</si>
  <si>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</si>
  <si>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</si>
  <si>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</si>
  <si>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</si>
  <si>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</si>
  <si>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</si>
  <si>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</si>
  <si>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</si>
  <si>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</si>
  <si>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</si>
  <si>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</si>
  <si>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</si>
  <si>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</si>
  <si>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</si>
  <si>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</si>
  <si>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</si>
  <si>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</si>
  <si>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</si>
  <si>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</si>
  <si>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</si>
  <si>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</si>
  <si>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</si>
  <si>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</si>
  <si>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</si>
  <si>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</si>
  <si>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</si>
  <si>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</si>
  <si>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</si>
  <si>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</si>
  <si>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</si>
  <si>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</si>
  <si>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</si>
  <si>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</si>
  <si>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</si>
  <si>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</si>
  <si>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</si>
  <si>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</si>
  <si>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</si>
  <si>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</si>
  <si>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</si>
  <si>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</si>
  <si>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</si>
  <si>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</si>
  <si>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</si>
  <si>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</si>
  <si>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</si>
  <si>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</si>
  <si>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</si>
  <si>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</si>
  <si>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</si>
  <si>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</si>
  <si>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</si>
  <si>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</si>
  <si>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</si>
  <si>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</si>
  <si>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</si>
  <si>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</si>
  <si>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</si>
  <si>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</si>
  <si>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</si>
  <si>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</si>
  <si>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</si>
  <si>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</si>
  <si>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</si>
  <si>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</si>
  <si>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</si>
  <si>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</si>
  <si>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</si>
  <si>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</si>
  <si>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</si>
  <si>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</si>
  <si>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</si>
  <si>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</si>
  <si>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</si>
  <si>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</si>
  <si>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</si>
  <si>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</si>
  <si>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</si>
  <si>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</si>
  <si>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</si>
  <si>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</si>
  <si>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</si>
  <si>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</si>
  <si>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</si>
  <si>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</si>
  <si>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</si>
  <si>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</si>
  <si>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</si>
  <si>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</si>
  <si>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</si>
  <si>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</si>
  <si>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</si>
  <si>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</si>
  <si>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</si>
  <si>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</si>
  <si>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</si>
  <si>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</si>
  <si>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</si>
  <si>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</si>
  <si>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</si>
  <si>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</si>
  <si>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</si>
  <si>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</si>
  <si>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</si>
  <si>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</si>
  <si>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</si>
  <si>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</si>
  <si>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</si>
  <si>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</si>
  <si>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</si>
  <si>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</si>
  <si>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</si>
  <si>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</si>
  <si>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</si>
  <si>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</si>
  <si>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</si>
  <si>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</si>
  <si>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</si>
  <si>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</si>
  <si>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</si>
  <si>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</si>
  <si>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</si>
  <si>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</si>
  <si>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</si>
  <si>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</si>
  <si>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</si>
  <si>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</si>
  <si>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</si>
  <si>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</si>
  <si>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</si>
  <si>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</si>
  <si>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</si>
  <si>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</si>
  <si>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</si>
  <si>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</si>
  <si>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</si>
  <si>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</si>
  <si>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</si>
  <si>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</si>
  <si>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</si>
  <si>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</si>
  <si>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</si>
  <si>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</si>
  <si>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</si>
  <si>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</si>
  <si>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</si>
  <si>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</si>
  <si>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</si>
  <si>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</si>
  <si>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</si>
  <si>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</si>
  <si>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</si>
  <si>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</si>
  <si>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</si>
  <si>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</si>
  <si>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</si>
  <si>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</si>
  <si>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</si>
  <si>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</si>
  <si>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</si>
  <si>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</si>
  <si>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</si>
  <si>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</si>
  <si>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</si>
  <si>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</si>
  <si>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</si>
  <si>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</si>
  <si>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</si>
  <si>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</si>
  <si>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</si>
  <si>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</si>
  <si>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</si>
  <si>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</si>
  <si>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</si>
  <si>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</si>
  <si>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</si>
  <si>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</si>
  <si>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</si>
  <si>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</si>
  <si>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</si>
  <si>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</si>
  <si>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</si>
  <si>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</si>
  <si>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</si>
  <si>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</si>
  <si>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</si>
  <si>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</si>
  <si>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</si>
  <si>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</si>
  <si>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</si>
  <si>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</si>
  <si>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</si>
  <si>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</si>
  <si>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</si>
  <si>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</si>
  <si>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</si>
  <si>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</si>
  <si>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</si>
  <si>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</si>
  <si>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</si>
  <si>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</si>
  <si>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</si>
  <si>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</si>
  <si>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</si>
  <si>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</si>
  <si>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</si>
  <si>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</si>
  <si>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</si>
  <si>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</si>
  <si>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</si>
  <si>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</si>
  <si>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</si>
  <si>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</si>
  <si>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</si>
  <si>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</si>
  <si>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</si>
  <si>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</si>
  <si>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</si>
  <si>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</si>
  <si>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</si>
  <si>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</si>
  <si>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</si>
  <si>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</si>
  <si>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</si>
  <si>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</si>
  <si>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</si>
  <si>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</si>
  <si>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</si>
  <si>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</si>
  <si>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</si>
  <si>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</si>
  <si>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</si>
  <si>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</si>
  <si>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</si>
  <si>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</si>
  <si>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</si>
  <si>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</si>
  <si>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</si>
  <si>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</si>
  <si>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</si>
  <si>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</si>
  <si>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</si>
  <si>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</si>
  <si>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</si>
  <si>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</si>
  <si>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</si>
  <si>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</si>
  <si>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</si>
  <si>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</si>
  <si>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</si>
  <si>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</si>
  <si>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</si>
  <si>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</si>
  <si>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</si>
  <si>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</si>
  <si>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</si>
  <si>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</si>
  <si>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</si>
  <si>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</si>
  <si>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</si>
  <si>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</si>
  <si>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</si>
  <si>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</si>
  <si>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</si>
  <si>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</si>
  <si>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</si>
  <si>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</si>
  <si>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</si>
  <si>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</si>
  <si>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</si>
  <si>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</si>
  <si>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</si>
  <si>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</si>
  <si>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</si>
  <si>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</si>
  <si>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</si>
  <si>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</si>
  <si>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</si>
  <si>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</si>
  <si>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</si>
  <si>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</si>
  <si>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</si>
  <si>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</si>
  <si>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</si>
  <si>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</si>
  <si>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</si>
  <si>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</si>
  <si>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</si>
  <si>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</si>
  <si>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</si>
  <si>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</si>
  <si>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</si>
  <si>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</si>
  <si>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</si>
  <si>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</si>
  <si>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</si>
  <si>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</si>
  <si>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</si>
  <si>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</si>
  <si>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</si>
  <si>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</si>
  <si>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</si>
  <si>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</si>
  <si>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</si>
  <si>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</si>
  <si>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</si>
  <si>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</si>
  <si>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</si>
  <si>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</si>
  <si>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</si>
  <si>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</si>
  <si>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</si>
  <si>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</si>
  <si>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</si>
  <si>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</si>
  <si>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</si>
  <si>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</si>
  <si>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</si>
  <si>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</si>
  <si>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</si>
  <si>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</si>
  <si>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</si>
  <si>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</si>
  <si>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</si>
  <si>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</si>
  <si>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</si>
  <si>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</si>
  <si>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</si>
  <si>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</si>
  <si>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</si>
  <si>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</si>
  <si>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</si>
  <si>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</si>
  <si>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</si>
  <si>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</si>
  <si>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</si>
  <si>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</si>
  <si>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</si>
  <si>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</si>
  <si>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</si>
  <si>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</si>
  <si>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</si>
  <si>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</si>
  <si>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</si>
  <si>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</si>
  <si>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</si>
  <si>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</si>
  <si>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</si>
  <si>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</si>
  <si>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</si>
  <si>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</si>
  <si>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</si>
  <si>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</si>
  <si>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</si>
  <si>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</si>
  <si>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</si>
  <si>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</si>
  <si>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</si>
  <si>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</si>
  <si>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</si>
  <si>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</si>
  <si>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</si>
  <si>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</si>
  <si>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</si>
  <si>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</si>
  <si>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</si>
  <si>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</si>
  <si>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</si>
  <si>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</si>
  <si>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</si>
  <si>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</si>
  <si>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</si>
  <si>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</si>
  <si>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</si>
  <si>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</si>
  <si>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</si>
  <si>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</si>
  <si>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</si>
  <si>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</si>
  <si>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</si>
  <si>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</si>
  <si>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</si>
  <si>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</si>
  <si>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</si>
  <si>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</si>
  <si>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</si>
  <si>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</si>
  <si>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</si>
  <si>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</si>
  <si>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</si>
  <si>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</si>
  <si>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</si>
  <si>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</si>
  <si>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</si>
  <si>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</si>
  <si>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</si>
  <si>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</si>
  <si>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</si>
  <si>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</si>
  <si>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</si>
  <si>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</si>
  <si>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</si>
  <si>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</si>
  <si>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</si>
  <si>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</si>
  <si>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</si>
  <si>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</si>
  <si>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</si>
  <si>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</si>
  <si>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</si>
  <si>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</si>
  <si>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</si>
  <si>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</si>
  <si>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</si>
  <si>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</si>
  <si>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</si>
  <si>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</si>
  <si>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</si>
  <si>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</si>
  <si>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</si>
  <si>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</si>
  <si>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</si>
  <si>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</si>
  <si>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</si>
  <si>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</si>
  <si>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</si>
  <si>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</si>
  <si>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</si>
  <si>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</si>
  <si>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</si>
  <si>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</si>
  <si>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</si>
  <si>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</si>
  <si>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</si>
  <si>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</si>
  <si>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</si>
  <si>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</si>
  <si>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</si>
  <si>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</si>
  <si>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</si>
  <si>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</si>
  <si>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</si>
  <si>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</si>
  <si>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</si>
  <si>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</si>
  <si>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</si>
  <si>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</si>
  <si>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</si>
  <si>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</si>
  <si>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</si>
  <si>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</si>
  <si>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</si>
  <si>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</si>
  <si>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</si>
  <si>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</si>
  <si>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</si>
  <si>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</si>
  <si>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</si>
  <si>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</si>
  <si>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</si>
  <si>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</si>
  <si>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</si>
  <si>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</si>
  <si>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</si>
  <si>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</si>
  <si>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</si>
  <si>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</si>
  <si>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</si>
  <si>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</si>
  <si>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</si>
  <si>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</si>
  <si>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</si>
  <si>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</si>
  <si>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</si>
  <si>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</si>
  <si>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</si>
  <si>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</si>
  <si>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</si>
  <si>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</si>
  <si>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</si>
  <si>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</si>
  <si>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</si>
  <si>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</si>
  <si>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</si>
  <si>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</si>
  <si>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</si>
  <si>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</si>
  <si>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</si>
  <si>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</si>
  <si>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</si>
  <si>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</si>
  <si>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</si>
  <si>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</si>
  <si>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</si>
  <si>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</si>
  <si>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</si>
  <si>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</si>
  <si>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</si>
  <si>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</si>
  <si>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</si>
  <si>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</si>
  <si>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</si>
  <si>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</si>
  <si>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</si>
  <si>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</si>
  <si>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</si>
  <si>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</si>
  <si>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</si>
  <si>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</si>
  <si>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</si>
  <si>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</si>
  <si>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</si>
  <si>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</si>
  <si>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</si>
  <si>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</si>
  <si>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</si>
  <si>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</si>
  <si>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</si>
  <si>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</si>
  <si>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</si>
  <si>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</si>
  <si>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</si>
  <si>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</si>
  <si>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</si>
  <si>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</si>
  <si>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</si>
  <si>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</si>
  <si>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</si>
  <si>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</si>
  <si>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</si>
  <si>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</si>
  <si>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</si>
  <si>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</si>
  <si>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</si>
  <si>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</si>
  <si>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</si>
  <si>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</si>
  <si>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</si>
  <si>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</si>
  <si>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</si>
  <si>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</si>
  <si>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</si>
  <si>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</si>
  <si>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</si>
  <si>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</si>
  <si>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</si>
  <si>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</si>
  <si>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</si>
  <si>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</si>
  <si>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</si>
  <si>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</si>
  <si>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</si>
  <si>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</si>
  <si>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</si>
  <si>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</si>
  <si>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</si>
  <si>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</si>
  <si>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</si>
  <si>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</si>
  <si>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</si>
  <si>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</si>
  <si>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</si>
  <si>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</si>
  <si>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</si>
  <si>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</si>
  <si>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</si>
  <si>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</si>
  <si>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</si>
  <si>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</si>
  <si>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</si>
  <si>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</si>
  <si>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</si>
  <si>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</si>
  <si>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</si>
  <si>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</si>
  <si>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</si>
  <si>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</si>
  <si>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</si>
  <si>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</si>
  <si>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</si>
  <si>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</si>
  <si>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</si>
  <si>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</si>
  <si>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</si>
  <si>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</si>
  <si>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</si>
  <si>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</si>
  <si>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</si>
  <si>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</si>
  <si>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</si>
  <si>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</si>
  <si>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</si>
  <si>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</si>
  <si>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</si>
  <si>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</si>
  <si>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</si>
  <si>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</si>
  <si>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</si>
  <si>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</si>
  <si>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</si>
  <si>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</si>
  <si>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</si>
  <si>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</si>
  <si>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</si>
  <si>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</si>
  <si>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</si>
  <si>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</si>
  <si>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</si>
  <si>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</si>
  <si>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</si>
  <si>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</si>
  <si>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</si>
  <si>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</si>
  <si>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</si>
  <si>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</si>
  <si>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</si>
  <si>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</si>
  <si>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</si>
  <si>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</si>
  <si>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</si>
  <si>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</si>
  <si>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</si>
  <si>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</si>
  <si>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</si>
  <si>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</si>
  <si>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</si>
  <si>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</si>
  <si>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</si>
  <si>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</si>
  <si>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</si>
  <si>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</si>
  <si>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</si>
  <si>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</si>
  <si>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</si>
  <si>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</si>
  <si>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</si>
  <si>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</si>
  <si>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</si>
  <si>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</si>
  <si>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</si>
  <si>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</si>
  <si>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</si>
  <si>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</si>
  <si>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</si>
  <si>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</si>
  <si>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</si>
  <si>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</si>
  <si>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</si>
  <si>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</si>
  <si>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</si>
  <si>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</si>
  <si>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</si>
  <si>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</si>
  <si>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</si>
  <si>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</si>
  <si>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</si>
  <si>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</si>
  <si>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</si>
  <si>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</si>
  <si>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</si>
  <si>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</si>
  <si>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</si>
  <si>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</si>
  <si>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</si>
  <si>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</si>
  <si>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</si>
  <si>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</si>
  <si>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</si>
  <si>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</si>
  <si>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</si>
  <si>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</si>
  <si>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</si>
  <si>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</si>
  <si>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</si>
  <si>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</si>
  <si>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</si>
  <si>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</si>
  <si>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</si>
  <si>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</si>
  <si>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</si>
  <si>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</si>
  <si>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</si>
  <si>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</si>
  <si>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</si>
  <si>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</si>
  <si>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</si>
  <si>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</si>
  <si>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</si>
  <si>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</si>
  <si>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</si>
  <si>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</si>
  <si>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</si>
  <si>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</si>
  <si>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</si>
  <si>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</si>
  <si>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</si>
  <si>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</si>
  <si>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</si>
  <si>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</si>
  <si>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</si>
  <si>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</si>
  <si>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</si>
  <si>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</si>
  <si>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</si>
  <si>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</si>
  <si>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</si>
  <si>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</si>
  <si>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</si>
  <si>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</si>
  <si>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</si>
  <si>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</si>
  <si>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</si>
  <si>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</si>
  <si>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</si>
  <si>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</si>
  <si>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</si>
  <si>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</si>
  <si>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</si>
  <si>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</si>
  <si>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</si>
  <si>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</si>
  <si>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</si>
  <si>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</si>
  <si>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</si>
  <si>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</si>
  <si>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</si>
  <si>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</si>
  <si>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</si>
  <si>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</si>
  <si>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</si>
  <si>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</si>
  <si>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</si>
  <si>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</si>
  <si>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</si>
  <si>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</si>
  <si>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</si>
  <si>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</si>
  <si>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</si>
  <si>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</si>
  <si>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</si>
  <si>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</si>
  <si>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</si>
  <si>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</si>
  <si>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</si>
  <si>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</si>
  <si>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</si>
  <si>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</si>
  <si>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</si>
  <si>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</si>
  <si>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</si>
  <si>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</si>
  <si>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</si>
  <si>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</si>
  <si>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</si>
  <si>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</si>
  <si>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</si>
  <si>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</si>
  <si>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</si>
  <si>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</si>
  <si>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</si>
  <si>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</si>
  <si>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</si>
  <si>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</si>
  <si>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</si>
  <si>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</si>
  <si>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</si>
  <si>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</si>
  <si>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</si>
  <si>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</si>
  <si>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</si>
  <si>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</si>
  <si>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</si>
  <si>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</si>
  <si>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</si>
  <si>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</si>
  <si>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</si>
  <si>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</si>
  <si>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</si>
  <si>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</si>
  <si>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</si>
  <si>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</si>
  <si>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</si>
  <si>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</si>
  <si>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</si>
  <si>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</si>
  <si>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</si>
  <si>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</si>
  <si>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</si>
  <si>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</si>
  <si>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</si>
  <si>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</si>
  <si>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</si>
  <si>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</si>
  <si>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</si>
  <si>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</si>
  <si>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</si>
  <si>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</si>
  <si>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</si>
  <si>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</si>
  <si>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</si>
  <si>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</si>
  <si>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</si>
  <si>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</si>
  <si>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</si>
  <si>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</si>
  <si>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</si>
  <si>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</si>
  <si>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</si>
  <si>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</si>
  <si>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</si>
  <si>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</si>
  <si>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</si>
  <si>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</si>
  <si>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</si>
  <si>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</si>
  <si>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</si>
  <si>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</si>
  <si>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</si>
  <si>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</si>
  <si>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</si>
  <si>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</si>
  <si>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</si>
  <si>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</si>
  <si>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</si>
  <si>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</si>
  <si>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</si>
  <si>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</si>
  <si>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</si>
  <si>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</si>
  <si>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</si>
  <si>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</si>
  <si>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</si>
  <si>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</si>
  <si>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</si>
  <si>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</si>
  <si>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</si>
  <si>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</si>
  <si>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</si>
  <si>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</si>
  <si>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</si>
  <si>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</si>
  <si>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</si>
  <si>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</si>
  <si>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</si>
  <si>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</si>
  <si>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</si>
  <si>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</si>
  <si>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</si>
  <si>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</si>
  <si>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</si>
  <si>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</si>
  <si>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</si>
  <si>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</si>
  <si>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</si>
  <si>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</si>
  <si>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</si>
  <si>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</si>
  <si>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</si>
  <si>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</si>
  <si>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</si>
  <si>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</si>
  <si>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</si>
  <si>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</si>
  <si>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</si>
  <si>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</si>
  <si>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</si>
  <si>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</si>
  <si>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</si>
  <si>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</si>
  <si>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</si>
  <si>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</si>
  <si>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</si>
  <si>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</si>
  <si>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</si>
  <si>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</si>
  <si>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</si>
  <si>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</si>
  <si>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</si>
  <si>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</si>
  <si>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</si>
  <si>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</si>
  <si>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</si>
  <si>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</si>
  <si>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</si>
  <si>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</si>
  <si>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</si>
  <si>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</si>
  <si>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</si>
  <si>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</si>
  <si>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</si>
  <si>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</si>
  <si>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</si>
  <si>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</si>
  <si>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</si>
  <si>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</si>
  <si>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</si>
  <si>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</si>
  <si>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</si>
  <si>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</si>
  <si>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</si>
  <si>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</si>
  <si>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</si>
  <si>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</si>
  <si>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</si>
  <si>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</si>
  <si>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</si>
  <si>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</si>
  <si>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</si>
  <si>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</si>
  <si>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</si>
  <si>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</si>
  <si>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</si>
  <si>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</si>
  <si>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</si>
  <si>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</si>
  <si>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</si>
  <si>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</si>
  <si>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</si>
  <si>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</si>
  <si>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</si>
  <si>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</si>
  <si>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</si>
  <si>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</si>
  <si>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</si>
  <si>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</si>
  <si>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</si>
  <si>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</si>
  <si>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</si>
  <si>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</si>
  <si>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</si>
  <si>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</si>
  <si>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</si>
  <si>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</si>
  <si>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</si>
  <si>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</si>
  <si>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</si>
  <si>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</si>
  <si>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</si>
  <si>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</si>
  <si>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</si>
  <si>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</si>
  <si>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</si>
  <si>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</si>
  <si>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</si>
  <si>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</si>
  <si>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</si>
  <si>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</si>
  <si>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</si>
  <si>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</si>
  <si>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</si>
  <si>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</si>
  <si>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</si>
  <si>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</si>
  <si>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</si>
  <si>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</si>
  <si>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</si>
  <si>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</si>
  <si>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</si>
  <si>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</si>
  <si>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</si>
  <si>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</si>
  <si>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</si>
  <si>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</si>
  <si>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</si>
  <si>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</si>
  <si>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</si>
  <si>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</si>
  <si>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</si>
  <si>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</si>
  <si>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</si>
  <si>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</si>
  <si>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</si>
  <si>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</si>
  <si>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</si>
  <si>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</si>
  <si>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</si>
  <si>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</si>
  <si>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</si>
  <si>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</si>
  <si>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</si>
  <si>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10)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</si>
  <si>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</si>
  <si>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</si>
  <si>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</si>
  <si>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</si>
  <si>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</si>
  <si>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</si>
  <si>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</si>
  <si>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</si>
  <si>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V/Avg</t>
  </si>
  <si>
    <t>Alert</t>
  </si>
  <si>
    <t>Sort [SFR] by Volume (col G) desc to rank.  Alert: BUY = z&lt;0 &amp; roll&gt;0 (cheap &amp; carry+);  SELL = z&gt;0 &amp; roll&lt;0.</t>
  </si>
  <si>
    <t>SFI — Most Traded (Top 10)</t>
  </si>
  <si>
    <t>Sort [SFI] by Volume (col G) desc to rank.  Alert: BUY = z&lt;0 &amp; roll&gt;0 (cheap &amp; carry+);  SELL = z&gt;0 &amp; roll&lt;0.</t>
  </si>
  <si>
    <t>ER — Most Traded (Top 10)</t>
  </si>
  <si>
    <t>Sort [ER] by Volume (col G) desc to rank.  Alert: BUY = z&lt;0 &amp; roll&gt;0 (cheap &amp; carry+);  SELL = z&gt;0 &amp; roll&lt;0.</t>
  </si>
  <si>
    <t>IR — Most Traded (Top 10)</t>
  </si>
  <si>
    <t>Sort [IR] by Volume (col G) desc to rank.  Alert: BUY = z&lt;0 &amp; roll&gt;0 (cheap &amp; carry+);  SELL = z&gt;0 &amp; roll&lt;0.</t>
  </si>
  <si>
    <t>COR — Most Traded (Top 10)</t>
  </si>
  <si>
    <t>Sort [COR] by Volume (col G) desc to rank.  Alert: BUY = z&lt;0 &amp; roll&gt;0 (cheap &amp; carry+);  SELL = z&gt;0 &amp; roll&lt;0.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</si>
  <si>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</si>
  <si>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</si>
  <si>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</si>
  <si>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</si>
  <si>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</si>
  <si>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</si>
  <si>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</si>
  <si>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</si>
  <si>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</si>
  <si>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</si>
  <si>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</si>
  <si>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</si>
  <si>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</si>
  <si>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</si>
  <si>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Top10     — Most traded SOFR structures with sparklines, z-scores + alerts.</t>
  </si>
  <si>
    <t>SFI Top10     — Most traded SONIA structures with sparklines, z-scores + alerts.</t>
  </si>
  <si>
    <t>ER Top10      — Most traded Euribor structures with sparklines, z-scores + alerts.</t>
  </si>
  <si>
    <t>IR Top10      — Most traded AUD Bank Bill structures with sparklines, z-scores + alerts.</t>
  </si>
  <si>
    <t>COR Top10     — Most traded CORRA structures with sparklines, z-scores + alerts.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</si>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</sst>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dd-mmm"/>
    <numFmt numFmtId="166" formatCode="0.000"/>
    <numFmt numFmtId="167" formatCode="0.0000"/>
    <numFmt numFmtId="168" formatCode="0.00"/>
    <numFmt numFmtId="169" formatCode="0.0&quot;x&quot;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0" borderId="0" xfId="0" applyNumberFormat="1" applyFont="1"/>
    <xf numFmtId="0" fontId="4" fillId="9" borderId="1" xfId="0" applyFont="1" applyFill="1" applyBorder="1" applyAlignment="1">
      <alignment vertical="center"/>
    </xf>
    <xf numFmtId="166" fontId="5" fillId="9" borderId="1" xfId="0" applyNumberFormat="1" applyFont="1" applyFill="1" applyBorder="1" applyAlignment="1">
      <alignment horizontal="right" vertical="center"/>
    </xf>
    <xf numFmtId="167" fontId="5" fillId="9" borderId="1" xfId="0" applyNumberFormat="1" applyFont="1" applyFill="1" applyBorder="1" applyAlignment="1">
      <alignment horizontal="right" vertical="center"/>
    </xf>
    <xf numFmtId="164" fontId="5" fillId="9" borderId="1" xfId="0" applyNumberFormat="1" applyFont="1" applyFill="1" applyBorder="1" applyAlignment="1">
      <alignment horizontal="right" vertical="center"/>
    </xf>
    <xf numFmtId="168" fontId="5" fillId="9" borderId="1" xfId="0" applyNumberFormat="1" applyFont="1" applyFill="1" applyBorder="1" applyAlignment="1">
      <alignment horizontal="right" vertical="center"/>
    </xf>
    <xf numFmtId="169" fontId="5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169" fontId="5" fillId="10" borderId="1" xfId="0" applyNumberFormat="1" applyFont="1" applyFill="1" applyBorder="1" applyAlignment="1">
      <alignment horizontal="right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0" xfId="0" applyFont="1"/>
    <xf numFmtId="0" fontId="1" fillId="11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4">
    <dxf>
      <font>
        <b/>
        <color rgb="FFFFFFFF"/>
      </font>
      <numFmt numFmtId="168" formatCode="0.00"/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numFmt numFmtId="168" formatCode="0.00"/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 t="array" ref="N3">IFERROR(AVERAGE(IF(ISNUMBER(P3:AI3),P3:AI3)),"")</f>
        <v>0</v>
      </c>
      <c r="O3">
        <f t="array" ref="O3">IFERROR(STDEV(IF(ISNUMBER(P3:AI3),P3:AI3)),"")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IFERROR(INDEX(SFR!$D:$D,MATCH(LARGE(SFR!$G:$G,2),SFR!$G:$G,0)),"")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 t="array" ref="N4">IFERROR(AVERAGE(IF(ISNUMBER(P4:AI4),P4:AI4)),"")</f>
        <v>0</v>
      </c>
      <c r="O4">
        <f t="array" ref="O4">IFERROR(STDEV(IF(ISNUMBER(P4:AI4),P4:AI4)),"")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 t="array" ref="N5">IFERROR(AVERAGE(IF(ISNUMBER(P5:AI5),P5:AI5)),"")</f>
        <v>0</v>
      </c>
      <c r="O5">
        <f t="array" ref="O5">IFERROR(STDEV(IF(ISNUMBER(P5:AI5),P5:AI5)),"")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IFERROR(INDEX(SFR!$D:$D,MATCH(LARGE(SFR!$G:$G,4),SFR!$G:$G,0)),"")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 t="array" ref="N6">IFERROR(AVERAGE(IF(ISNUMBER(P6:AI6),P6:AI6)),"")</f>
        <v>0</v>
      </c>
      <c r="O6">
        <f t="array" ref="O6">IFERROR(STDEV(IF(ISNUMBER(P6:AI6),P6:AI6)),"")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 t="array" ref="N7">IFERROR(AVERAGE(IF(ISNUMBER(P7:AI7),P7:AI7)),"")</f>
        <v>0</v>
      </c>
      <c r="O7">
        <f t="array" ref="O7">IFERROR(STDEV(IF(ISNUMBER(P7:AI7),P7:AI7)),"")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IFERROR(INDEX(SFR!$D:$D,MATCH(LARGE(SFR!$G:$G,6),SFR!$G:$G,0)),"")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 t="array" ref="N8">IFERROR(AVERAGE(IF(ISNUMBER(P8:AI8),P8:AI8)),"")</f>
        <v>0</v>
      </c>
      <c r="O8">
        <f t="array" ref="O8">IFERROR(STDEV(IF(ISNUMBER(P8:AI8),P8:AI8)),"")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 t="array" ref="N9">IFERROR(AVERAGE(IF(ISNUMBER(P9:AI9),P9:AI9)),"")</f>
        <v>0</v>
      </c>
      <c r="O9">
        <f t="array" ref="O9">IFERROR(STDEV(IF(ISNUMBER(P9:AI9),P9:AI9)),"")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IFERROR(INDEX(SFR!$D:$D,MATCH(LARGE(SFR!$G:$G,8),SFR!$G:$G,0)),"")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 t="array" ref="N10">IFERROR(AVERAGE(IF(ISNUMBER(P10:AI10),P10:AI10)),"")</f>
        <v>0</v>
      </c>
      <c r="O10">
        <f t="array" ref="O10">IFERROR(STDEV(IF(ISNUMBER(P10:AI10),P10:AI10)),"")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 t="array" ref="N11">IFERROR(AVERAGE(IF(ISNUMBER(P11:AI11),P11:AI11)),"")</f>
        <v>0</v>
      </c>
      <c r="O11">
        <f t="array" ref="O11">IFERROR(STDEV(IF(ISNUMBER(P11:AI11),P11:AI11)),"")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IFERROR(INDEX(SFR!$D:$D,MATCH(LARGE(SFR!$G:$G,10),SFR!$G:$G,0)),"")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 t="array" ref="N12">IFERROR(AVERAGE(IF(ISNUMBER(P12:AI12),P12:AI12)),"")</f>
        <v>0</v>
      </c>
      <c r="O12">
        <f t="array" ref="O12">IFERROR(STDEV(IF(ISNUMBER(P12:AI12),P12:AI12)),"")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1560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Top10'!P12:AI12</xm:f>
              <xm:sqref>I12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Top10'!P11:AI11</xm:f>
              <xm:sqref>I11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Top10'!P10:AI10</xm:f>
              <xm:sqref>I10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Top10'!P9:AI9</xm:f>
              <xm:sqref>I9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Top10'!P8:AI8</xm:f>
              <xm:sqref>I8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Top10'!P7:AI7</xm:f>
              <xm:sqref>I7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Top10'!P6:AI6</xm:f>
              <xm:sqref>I6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Top10'!P5:AI5</xm:f>
              <xm:sqref>I5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Top10'!P4:AI4</xm:f>
              <xm:sqref>I4</xm:sqref>
            </x14:sparkline>
          </x14:sparklines>
        </x14:sparklineGroup>
        <x14:sparklineGroup lineWeight="1.5" displayEmptyCellsAs="span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Top10'!P3:AI3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1" t="s">
        <v>1561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 t="array" ref="N3">IFERROR(AVERAGE(IF(ISNUMBER(P3:AI3),P3:AI3)),"")</f>
        <v>0</v>
      </c>
      <c r="O3">
        <f t="array" ref="O3">IFERROR(STDEV(IF(ISNUMBER(P3:AI3),P3:AI3)),"")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IFERROR(INDEX(SFI!$D:$D,MATCH(LARGE(SFI!$G:$G,2),SFI!$G:$G,0)),"")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 t="array" ref="N4">IFERROR(AVERAGE(IF(ISNUMBER(P4:AI4),P4:AI4)),"")</f>
        <v>0</v>
      </c>
      <c r="O4">
        <f t="array" ref="O4">IFERROR(STDEV(IF(ISNUMBER(P4:AI4),P4:AI4)),"")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 t="array" ref="N5">IFERROR(AVERAGE(IF(ISNUMBER(P5:AI5),P5:AI5)),"")</f>
        <v>0</v>
      </c>
      <c r="O5">
        <f t="array" ref="O5">IFERROR(STDEV(IF(ISNUMBER(P5:AI5),P5:AI5)),"")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IFERROR(INDEX(SFI!$D:$D,MATCH(LARGE(SFI!$G:$G,4),SFI!$G:$G,0)),"")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 t="array" ref="N6">IFERROR(AVERAGE(IF(ISNUMBER(P6:AI6),P6:AI6)),"")</f>
        <v>0</v>
      </c>
      <c r="O6">
        <f t="array" ref="O6">IFERROR(STDEV(IF(ISNUMBER(P6:AI6),P6:AI6)),"")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 t="array" ref="N7">IFERROR(AVERAGE(IF(ISNUMBER(P7:AI7),P7:AI7)),"")</f>
        <v>0</v>
      </c>
      <c r="O7">
        <f t="array" ref="O7">IFERROR(STDEV(IF(ISNUMBER(P7:AI7),P7:AI7)),"")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IFERROR(INDEX(SFI!$D:$D,MATCH(LARGE(SFI!$G:$G,6),SFI!$G:$G,0)),"")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 t="array" ref="N8">IFERROR(AVERAGE(IF(ISNUMBER(P8:AI8),P8:AI8)),"")</f>
        <v>0</v>
      </c>
      <c r="O8">
        <f t="array" ref="O8">IFERROR(STDEV(IF(ISNUMBER(P8:AI8),P8:AI8)),"")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 t="array" ref="N9">IFERROR(AVERAGE(IF(ISNUMBER(P9:AI9),P9:AI9)),"")</f>
        <v>0</v>
      </c>
      <c r="O9">
        <f t="array" ref="O9">IFERROR(STDEV(IF(ISNUMBER(P9:AI9),P9:AI9)),"")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IFERROR(INDEX(SFI!$D:$D,MATCH(LARGE(SFI!$G:$G,8),SFI!$G:$G,0)),"")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 t="array" ref="N10">IFERROR(AVERAGE(IF(ISNUMBER(P10:AI10),P10:AI10)),"")</f>
        <v>0</v>
      </c>
      <c r="O10">
        <f t="array" ref="O10">IFERROR(STDEV(IF(ISNUMBER(P10:AI10),P10:AI10)),"")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 t="array" ref="N11">IFERROR(AVERAGE(IF(ISNUMBER(P11:AI11),P11:AI11)),"")</f>
        <v>0</v>
      </c>
      <c r="O11">
        <f t="array" ref="O11">IFERROR(STDEV(IF(ISNUMBER(P11:AI11),P11:AI11)),"")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IFERROR(INDEX(SFI!$D:$D,MATCH(LARGE(SFI!$G:$G,10),SFI!$G:$G,0)),"")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 t="array" ref="N12">IFERROR(AVERAGE(IF(ISNUMBER(P12:AI12),P12:AI12)),"")</f>
        <v>0</v>
      </c>
      <c r="O12">
        <f t="array" ref="O12">IFERROR(STDEV(IF(ISNUMBER(P12:AI12),P12:AI12)),"")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1562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Top10'!P12:AI12</xm:f>
              <xm:sqref>I12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Top10'!P11:AI11</xm:f>
              <xm:sqref>I11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Top10'!P10:AI10</xm:f>
              <xm:sqref>I10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Top10'!P9:AI9</xm:f>
              <xm:sqref>I9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Top10'!P8:AI8</xm:f>
              <xm:sqref>I8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Top10'!P7:AI7</xm:f>
              <xm:sqref>I7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Top10'!P6:AI6</xm:f>
              <xm:sqref>I6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Top10'!P5:AI5</xm:f>
              <xm:sqref>I5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Top10'!P4:AI4</xm:f>
              <xm:sqref>I4</xm:sqref>
            </x14:sparkline>
          </x14:sparklines>
        </x14:sparklineGroup>
        <x14:sparklineGroup lineWeight="1.5" displayEmptyCellsAs="span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Top10'!P3:AI3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3" t="s">
        <v>1563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 t="array" ref="N3">IFERROR(AVERAGE(IF(ISNUMBER(P3:AI3),P3:AI3)),"")</f>
        <v>0</v>
      </c>
      <c r="O3">
        <f t="array" ref="O3">IFERROR(STDEV(IF(ISNUMBER(P3:AI3),P3:AI3)),"")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IFERROR(INDEX(ER!$D:$D,MATCH(LARGE(ER!$G:$G,2),ER!$G:$G,0)),"")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 t="array" ref="N4">IFERROR(AVERAGE(IF(ISNUMBER(P4:AI4),P4:AI4)),"")</f>
        <v>0</v>
      </c>
      <c r="O4">
        <f t="array" ref="O4">IFERROR(STDEV(IF(ISNUMBER(P4:AI4),P4:AI4)),"")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 t="array" ref="N5">IFERROR(AVERAGE(IF(ISNUMBER(P5:AI5),P5:AI5)),"")</f>
        <v>0</v>
      </c>
      <c r="O5">
        <f t="array" ref="O5">IFERROR(STDEV(IF(ISNUMBER(P5:AI5),P5:AI5)),"")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IFERROR(INDEX(ER!$D:$D,MATCH(LARGE(ER!$G:$G,4),ER!$G:$G,0)),"")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 t="array" ref="N6">IFERROR(AVERAGE(IF(ISNUMBER(P6:AI6),P6:AI6)),"")</f>
        <v>0</v>
      </c>
      <c r="O6">
        <f t="array" ref="O6">IFERROR(STDEV(IF(ISNUMBER(P6:AI6),P6:AI6)),"")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 t="array" ref="N7">IFERROR(AVERAGE(IF(ISNUMBER(P7:AI7),P7:AI7)),"")</f>
        <v>0</v>
      </c>
      <c r="O7">
        <f t="array" ref="O7">IFERROR(STDEV(IF(ISNUMBER(P7:AI7),P7:AI7)),"")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IFERROR(INDEX(ER!$D:$D,MATCH(LARGE(ER!$G:$G,6),ER!$G:$G,0)),"")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 t="array" ref="N8">IFERROR(AVERAGE(IF(ISNUMBER(P8:AI8),P8:AI8)),"")</f>
        <v>0</v>
      </c>
      <c r="O8">
        <f t="array" ref="O8">IFERROR(STDEV(IF(ISNUMBER(P8:AI8),P8:AI8)),"")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 t="array" ref="N9">IFERROR(AVERAGE(IF(ISNUMBER(P9:AI9),P9:AI9)),"")</f>
        <v>0</v>
      </c>
      <c r="O9">
        <f t="array" ref="O9">IFERROR(STDEV(IF(ISNUMBER(P9:AI9),P9:AI9)),"")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IFERROR(INDEX(ER!$D:$D,MATCH(LARGE(ER!$G:$G,8),ER!$G:$G,0)),"")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 t="array" ref="N10">IFERROR(AVERAGE(IF(ISNUMBER(P10:AI10),P10:AI10)),"")</f>
        <v>0</v>
      </c>
      <c r="O10">
        <f t="array" ref="O10">IFERROR(STDEV(IF(ISNUMBER(P10:AI10),P10:AI10)),"")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 t="array" ref="N11">IFERROR(AVERAGE(IF(ISNUMBER(P11:AI11),P11:AI11)),"")</f>
        <v>0</v>
      </c>
      <c r="O11">
        <f t="array" ref="O11">IFERROR(STDEV(IF(ISNUMBER(P11:AI11),P11:AI11)),"")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IFERROR(INDEX(ER!$D:$D,MATCH(LARGE(ER!$G:$G,10),ER!$G:$G,0)),"")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 t="array" ref="N12">IFERROR(AVERAGE(IF(ISNUMBER(P12:AI12),P12:AI12)),"")</f>
        <v>0</v>
      </c>
      <c r="O12">
        <f t="array" ref="O12">IFERROR(STDEV(IF(ISNUMBER(P12:AI12),P12:AI12)),"")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1564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Top10'!P12:AI12</xm:f>
              <xm:sqref>I12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Top10'!P11:AI11</xm:f>
              <xm:sqref>I11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Top10'!P10:AI10</xm:f>
              <xm:sqref>I10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Top10'!P9:AI9</xm:f>
              <xm:sqref>I9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Top10'!P8:AI8</xm:f>
              <xm:sqref>I8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Top10'!P7:AI7</xm:f>
              <xm:sqref>I7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Top10'!P6:AI6</xm:f>
              <xm:sqref>I6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Top10'!P5:AI5</xm:f>
              <xm:sqref>I5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Top10'!P4:AI4</xm:f>
              <xm:sqref>I4</xm:sqref>
            </x14:sparkline>
          </x14:sparklines>
        </x14:sparklineGroup>
        <x14:sparklineGroup lineWeight="1.5" displayEmptyCellsAs="span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Top10'!P3:AI3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5" t="s">
        <v>1565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 t="array" ref="N3">IFERROR(AVERAGE(IF(ISNUMBER(P3:AI3),P3:AI3)),"")</f>
        <v>0</v>
      </c>
      <c r="O3">
        <f t="array" ref="O3">IFERROR(STDEV(IF(ISNUMBER(P3:AI3),P3:AI3)),"")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IFERROR(INDEX(IR!$D:$D,MATCH(LARGE(IR!$G:$G,2),IR!$G:$G,0)),"")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 t="array" ref="N4">IFERROR(AVERAGE(IF(ISNUMBER(P4:AI4),P4:AI4)),"")</f>
        <v>0</v>
      </c>
      <c r="O4">
        <f t="array" ref="O4">IFERROR(STDEV(IF(ISNUMBER(P4:AI4),P4:AI4)),"")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 t="array" ref="N5">IFERROR(AVERAGE(IF(ISNUMBER(P5:AI5),P5:AI5)),"")</f>
        <v>0</v>
      </c>
      <c r="O5">
        <f t="array" ref="O5">IFERROR(STDEV(IF(ISNUMBER(P5:AI5),P5:AI5)),"")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IFERROR(INDEX(IR!$D:$D,MATCH(LARGE(IR!$G:$G,4),IR!$G:$G,0)),"")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 t="array" ref="N6">IFERROR(AVERAGE(IF(ISNUMBER(P6:AI6),P6:AI6)),"")</f>
        <v>0</v>
      </c>
      <c r="O6">
        <f t="array" ref="O6">IFERROR(STDEV(IF(ISNUMBER(P6:AI6),P6:AI6)),"")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 t="array" ref="N7">IFERROR(AVERAGE(IF(ISNUMBER(P7:AI7),P7:AI7)),"")</f>
        <v>0</v>
      </c>
      <c r="O7">
        <f t="array" ref="O7">IFERROR(STDEV(IF(ISNUMBER(P7:AI7),P7:AI7)),"")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IFERROR(INDEX(IR!$D:$D,MATCH(LARGE(IR!$G:$G,6),IR!$G:$G,0)),"")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 t="array" ref="N8">IFERROR(AVERAGE(IF(ISNUMBER(P8:AI8),P8:AI8)),"")</f>
        <v>0</v>
      </c>
      <c r="O8">
        <f t="array" ref="O8">IFERROR(STDEV(IF(ISNUMBER(P8:AI8),P8:AI8)),"")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 t="array" ref="N9">IFERROR(AVERAGE(IF(ISNUMBER(P9:AI9),P9:AI9)),"")</f>
        <v>0</v>
      </c>
      <c r="O9">
        <f t="array" ref="O9">IFERROR(STDEV(IF(ISNUMBER(P9:AI9),P9:AI9)),"")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IFERROR(INDEX(IR!$D:$D,MATCH(LARGE(IR!$G:$G,8),IR!$G:$G,0)),"")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 t="array" ref="N10">IFERROR(AVERAGE(IF(ISNUMBER(P10:AI10),P10:AI10)),"")</f>
        <v>0</v>
      </c>
      <c r="O10">
        <f t="array" ref="O10">IFERROR(STDEV(IF(ISNUMBER(P10:AI10),P10:AI10)),"")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 t="array" ref="N11">IFERROR(AVERAGE(IF(ISNUMBER(P11:AI11),P11:AI11)),"")</f>
        <v>0</v>
      </c>
      <c r="O11">
        <f t="array" ref="O11">IFERROR(STDEV(IF(ISNUMBER(P11:AI11),P11:AI11)),"")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IFERROR(INDEX(IR!$D:$D,MATCH(LARGE(IR!$G:$G,10),IR!$G:$G,0)),"")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 t="array" ref="N12">IFERROR(AVERAGE(IF(ISNUMBER(P12:AI12),P12:AI12)),"")</f>
        <v>0</v>
      </c>
      <c r="O12">
        <f t="array" ref="O12">IFERROR(STDEV(IF(ISNUMBER(P12:AI12),P12:AI12)),"")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1566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Top10'!P12:AI12</xm:f>
              <xm:sqref>I12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Top10'!P11:AI11</xm:f>
              <xm:sqref>I11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Top10'!P10:AI10</xm:f>
              <xm:sqref>I10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Top10'!P9:AI9</xm:f>
              <xm:sqref>I9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Top10'!P8:AI8</xm:f>
              <xm:sqref>I8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Top10'!P7:AI7</xm:f>
              <xm:sqref>I7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Top10'!P6:AI6</xm:f>
              <xm:sqref>I6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Top10'!P5:AI5</xm:f>
              <xm:sqref>I5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Top10'!P4:AI4</xm:f>
              <xm:sqref>I4</xm:sqref>
            </x14:sparkline>
          </x14:sparklines>
        </x14:sparklineGroup>
        <x14:sparklineGroup lineWeight="1.5" displayEmptyCellsAs="span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Top10'!P3:AI3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7" t="s">
        <v>1567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IF(OR(J3="",H3=""),"",IF(AND(H3&lt;0,J3&gt;0),"BUY",IF(AND(H3&gt;0,J3&lt;0),"SELL","")))</f>
        <v>0</v>
      </c>
      <c r="N3">
        <f t="array" ref="N3">IFERROR(AVERAGE(IF(ISNUMBER(P3:AI3),P3:AI3)),"")</f>
        <v>0</v>
      </c>
      <c r="O3">
        <f t="array" ref="O3">IFERROR(STDEV(IF(ISNUMBER(P3:AI3),P3:AI3)),"")</f>
        <v>0</v>
      </c>
      <c r="P3">
        <f>IFERROR(BDH(A3,"PX_LAST",WORKDAY(TODAY(),-20),WORKDAY(TODAY(),-20))+0,NA())</f>
        <v>0</v>
      </c>
      <c r="Q3">
        <f>IFERROR(BDH(A3,"PX_LAST",WORKDAY(TODAY(),-19),WORKDAY(TODAY(),-19))+0,NA())</f>
        <v>0</v>
      </c>
      <c r="R3">
        <f>IFERROR(BDH(A3,"PX_LAST",WORKDAY(TODAY(),-18),WORKDAY(TODAY(),-18))+0,NA())</f>
        <v>0</v>
      </c>
      <c r="S3">
        <f>IFERROR(BDH(A3,"PX_LAST",WORKDAY(TODAY(),-17),WORKDAY(TODAY(),-17))+0,NA())</f>
        <v>0</v>
      </c>
      <c r="T3">
        <f>IFERROR(BDH(A3,"PX_LAST",WORKDAY(TODAY(),-16),WORKDAY(TODAY(),-16))+0,NA())</f>
        <v>0</v>
      </c>
      <c r="U3">
        <f>IFERROR(BDH(A3,"PX_LAST",WORKDAY(TODAY(),-15),WORKDAY(TODAY(),-15))+0,NA())</f>
        <v>0</v>
      </c>
      <c r="V3">
        <f>IFERROR(BDH(A3,"PX_LAST",WORKDAY(TODAY(),-14),WORKDAY(TODAY(),-14))+0,NA())</f>
        <v>0</v>
      </c>
      <c r="W3">
        <f>IFERROR(BDH(A3,"PX_LAST",WORKDAY(TODAY(),-13),WORKDAY(TODAY(),-13))+0,NA())</f>
        <v>0</v>
      </c>
      <c r="X3">
        <f>IFERROR(BDH(A3,"PX_LAST",WORKDAY(TODAY(),-12),WORKDAY(TODAY(),-12))+0,NA())</f>
        <v>0</v>
      </c>
      <c r="Y3">
        <f>IFERROR(BDH(A3,"PX_LAST",WORKDAY(TODAY(),-11),WORKDAY(TODAY(),-11))+0,NA())</f>
        <v>0</v>
      </c>
      <c r="Z3">
        <f>IFERROR(BDH(A3,"PX_LAST",WORKDAY(TODAY(),-10),WORKDAY(TODAY(),-10))+0,NA())</f>
        <v>0</v>
      </c>
      <c r="AA3">
        <f>IFERROR(BDH(A3,"PX_LAST",WORKDAY(TODAY(),-9),WORKDAY(TODAY(),-9))+0,NA())</f>
        <v>0</v>
      </c>
      <c r="AB3">
        <f>IFERROR(BDH(A3,"PX_LAST",WORKDAY(TODAY(),-8),WORKDAY(TODAY(),-8))+0,NA())</f>
        <v>0</v>
      </c>
      <c r="AC3">
        <f>IFERROR(BDH(A3,"PX_LAST",WORKDAY(TODAY(),-7),WORKDAY(TODAY(),-7))+0,NA())</f>
        <v>0</v>
      </c>
      <c r="AD3">
        <f>IFERROR(BDH(A3,"PX_LAST",WORKDAY(TODAY(),-6),WORKDAY(TODAY(),-6))+0,NA())</f>
        <v>0</v>
      </c>
      <c r="AE3">
        <f>IFERROR(BDH(A3,"PX_LAST",WORKDAY(TODAY(),-5),WORKDAY(TODAY(),-5))+0,NA())</f>
        <v>0</v>
      </c>
      <c r="AF3">
        <f>IFERROR(BDH(A3,"PX_LAST",WORKDAY(TODAY(),-4),WORKDAY(TODAY(),-4))+0,NA())</f>
        <v>0</v>
      </c>
      <c r="AG3">
        <f>IFERROR(BDH(A3,"PX_LAST",WORKDAY(TODAY(),-3),WORKDAY(TODAY(),-3))+0,NA())</f>
        <v>0</v>
      </c>
      <c r="AH3">
        <f>IFERROR(BDH(A3,"PX_LAST",WORKDAY(TODAY(),-2),WORKDAY(TODAY(),-2))+0,NA())</f>
        <v>0</v>
      </c>
      <c r="AI3">
        <f>IFERROR(BDH(A3,"PX_LAST",WORKDAY(TODAY(),-1),WORKDAY(TODAY(),-1))+0,NA())</f>
        <v>0</v>
      </c>
    </row>
    <row r="4" spans="1:35" ht="18" customHeight="1">
      <c r="A4">
        <f>IFERROR(INDEX(COR!$D:$D,MATCH(LARGE(COR!$G:$G,2),COR!$G:$G,0)),"")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IF(OR(J4="",H4=""),"",IF(AND(H4&lt;0,J4&gt;0),"BUY",IF(AND(H4&gt;0,J4&lt;0),"SELL","")))</f>
        <v>0</v>
      </c>
      <c r="N4">
        <f t="array" ref="N4">IFERROR(AVERAGE(IF(ISNUMBER(P4:AI4),P4:AI4)),"")</f>
        <v>0</v>
      </c>
      <c r="O4">
        <f t="array" ref="O4">IFERROR(STDEV(IF(ISNUMBER(P4:AI4),P4:AI4)),"")</f>
        <v>0</v>
      </c>
      <c r="P4">
        <f>IFERROR(BDH(A4,"PX_LAST",WORKDAY(TODAY(),-20),WORKDAY(TODAY(),-20))+0,NA())</f>
        <v>0</v>
      </c>
      <c r="Q4">
        <f>IFERROR(BDH(A4,"PX_LAST",WORKDAY(TODAY(),-19),WORKDAY(TODAY(),-19))+0,NA())</f>
        <v>0</v>
      </c>
      <c r="R4">
        <f>IFERROR(BDH(A4,"PX_LAST",WORKDAY(TODAY(),-18),WORKDAY(TODAY(),-18))+0,NA())</f>
        <v>0</v>
      </c>
      <c r="S4">
        <f>IFERROR(BDH(A4,"PX_LAST",WORKDAY(TODAY(),-17),WORKDAY(TODAY(),-17))+0,NA())</f>
        <v>0</v>
      </c>
      <c r="T4">
        <f>IFERROR(BDH(A4,"PX_LAST",WORKDAY(TODAY(),-16),WORKDAY(TODAY(),-16))+0,NA())</f>
        <v>0</v>
      </c>
      <c r="U4">
        <f>IFERROR(BDH(A4,"PX_LAST",WORKDAY(TODAY(),-15),WORKDAY(TODAY(),-15))+0,NA())</f>
        <v>0</v>
      </c>
      <c r="V4">
        <f>IFERROR(BDH(A4,"PX_LAST",WORKDAY(TODAY(),-14),WORKDAY(TODAY(),-14))+0,NA())</f>
        <v>0</v>
      </c>
      <c r="W4">
        <f>IFERROR(BDH(A4,"PX_LAST",WORKDAY(TODAY(),-13),WORKDAY(TODAY(),-13))+0,NA())</f>
        <v>0</v>
      </c>
      <c r="X4">
        <f>IFERROR(BDH(A4,"PX_LAST",WORKDAY(TODAY(),-12),WORKDAY(TODAY(),-12))+0,NA())</f>
        <v>0</v>
      </c>
      <c r="Y4">
        <f>IFERROR(BDH(A4,"PX_LAST",WORKDAY(TODAY(),-11),WORKDAY(TODAY(),-11))+0,NA())</f>
        <v>0</v>
      </c>
      <c r="Z4">
        <f>IFERROR(BDH(A4,"PX_LAST",WORKDAY(TODAY(),-10),WORKDAY(TODAY(),-10))+0,NA())</f>
        <v>0</v>
      </c>
      <c r="AA4">
        <f>IFERROR(BDH(A4,"PX_LAST",WORKDAY(TODAY(),-9),WORKDAY(TODAY(),-9))+0,NA())</f>
        <v>0</v>
      </c>
      <c r="AB4">
        <f>IFERROR(BDH(A4,"PX_LAST",WORKDAY(TODAY(),-8),WORKDAY(TODAY(),-8))+0,NA())</f>
        <v>0</v>
      </c>
      <c r="AC4">
        <f>IFERROR(BDH(A4,"PX_LAST",WORKDAY(TODAY(),-7),WORKDAY(TODAY(),-7))+0,NA())</f>
        <v>0</v>
      </c>
      <c r="AD4">
        <f>IFERROR(BDH(A4,"PX_LAST",WORKDAY(TODAY(),-6),WORKDAY(TODAY(),-6))+0,NA())</f>
        <v>0</v>
      </c>
      <c r="AE4">
        <f>IFERROR(BDH(A4,"PX_LAST",WORKDAY(TODAY(),-5),WORKDAY(TODAY(),-5))+0,NA())</f>
        <v>0</v>
      </c>
      <c r="AF4">
        <f>IFERROR(BDH(A4,"PX_LAST",WORKDAY(TODAY(),-4),WORKDAY(TODAY(),-4))+0,NA())</f>
        <v>0</v>
      </c>
      <c r="AG4">
        <f>IFERROR(BDH(A4,"PX_LAST",WORKDAY(TODAY(),-3),WORKDAY(TODAY(),-3))+0,NA())</f>
        <v>0</v>
      </c>
      <c r="AH4">
        <f>IFERROR(BDH(A4,"PX_LAST",WORKDAY(TODAY(),-2),WORKDAY(TODAY(),-2))+0,NA())</f>
        <v>0</v>
      </c>
      <c r="AI4">
        <f>IFERROR(BDH(A4,"PX_LAST",WORKDAY(TODAY(),-1),WORKDAY(TODAY(),-1))+0,NA())</f>
        <v>0</v>
      </c>
    </row>
    <row r="5" spans="1:35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IF(OR(J5="",H5=""),"",IF(AND(H5&lt;0,J5&gt;0),"BUY",IF(AND(H5&gt;0,J5&lt;0),"SELL","")))</f>
        <v>0</v>
      </c>
      <c r="N5">
        <f t="array" ref="N5">IFERROR(AVERAGE(IF(ISNUMBER(P5:AI5),P5:AI5)),"")</f>
        <v>0</v>
      </c>
      <c r="O5">
        <f t="array" ref="O5">IFERROR(STDEV(IF(ISNUMBER(P5:AI5),P5:AI5)),"")</f>
        <v>0</v>
      </c>
      <c r="P5">
        <f>IFERROR(BDH(A5,"PX_LAST",WORKDAY(TODAY(),-20),WORKDAY(TODAY(),-20))+0,NA())</f>
        <v>0</v>
      </c>
      <c r="Q5">
        <f>IFERROR(BDH(A5,"PX_LAST",WORKDAY(TODAY(),-19),WORKDAY(TODAY(),-19))+0,NA())</f>
        <v>0</v>
      </c>
      <c r="R5">
        <f>IFERROR(BDH(A5,"PX_LAST",WORKDAY(TODAY(),-18),WORKDAY(TODAY(),-18))+0,NA())</f>
        <v>0</v>
      </c>
      <c r="S5">
        <f>IFERROR(BDH(A5,"PX_LAST",WORKDAY(TODAY(),-17),WORKDAY(TODAY(),-17))+0,NA())</f>
        <v>0</v>
      </c>
      <c r="T5">
        <f>IFERROR(BDH(A5,"PX_LAST",WORKDAY(TODAY(),-16),WORKDAY(TODAY(),-16))+0,NA())</f>
        <v>0</v>
      </c>
      <c r="U5">
        <f>IFERROR(BDH(A5,"PX_LAST",WORKDAY(TODAY(),-15),WORKDAY(TODAY(),-15))+0,NA())</f>
        <v>0</v>
      </c>
      <c r="V5">
        <f>IFERROR(BDH(A5,"PX_LAST",WORKDAY(TODAY(),-14),WORKDAY(TODAY(),-14))+0,NA())</f>
        <v>0</v>
      </c>
      <c r="W5">
        <f>IFERROR(BDH(A5,"PX_LAST",WORKDAY(TODAY(),-13),WORKDAY(TODAY(),-13))+0,NA())</f>
        <v>0</v>
      </c>
      <c r="X5">
        <f>IFERROR(BDH(A5,"PX_LAST",WORKDAY(TODAY(),-12),WORKDAY(TODAY(),-12))+0,NA())</f>
        <v>0</v>
      </c>
      <c r="Y5">
        <f>IFERROR(BDH(A5,"PX_LAST",WORKDAY(TODAY(),-11),WORKDAY(TODAY(),-11))+0,NA())</f>
        <v>0</v>
      </c>
      <c r="Z5">
        <f>IFERROR(BDH(A5,"PX_LAST",WORKDAY(TODAY(),-10),WORKDAY(TODAY(),-10))+0,NA())</f>
        <v>0</v>
      </c>
      <c r="AA5">
        <f>IFERROR(BDH(A5,"PX_LAST",WORKDAY(TODAY(),-9),WORKDAY(TODAY(),-9))+0,NA())</f>
        <v>0</v>
      </c>
      <c r="AB5">
        <f>IFERROR(BDH(A5,"PX_LAST",WORKDAY(TODAY(),-8),WORKDAY(TODAY(),-8))+0,NA())</f>
        <v>0</v>
      </c>
      <c r="AC5">
        <f>IFERROR(BDH(A5,"PX_LAST",WORKDAY(TODAY(),-7),WORKDAY(TODAY(),-7))+0,NA())</f>
        <v>0</v>
      </c>
      <c r="AD5">
        <f>IFERROR(BDH(A5,"PX_LAST",WORKDAY(TODAY(),-6),WORKDAY(TODAY(),-6))+0,NA())</f>
        <v>0</v>
      </c>
      <c r="AE5">
        <f>IFERROR(BDH(A5,"PX_LAST",WORKDAY(TODAY(),-5),WORKDAY(TODAY(),-5))+0,NA())</f>
        <v>0</v>
      </c>
      <c r="AF5">
        <f>IFERROR(BDH(A5,"PX_LAST",WORKDAY(TODAY(),-4),WORKDAY(TODAY(),-4))+0,NA())</f>
        <v>0</v>
      </c>
      <c r="AG5">
        <f>IFERROR(BDH(A5,"PX_LAST",WORKDAY(TODAY(),-3),WORKDAY(TODAY(),-3))+0,NA())</f>
        <v>0</v>
      </c>
      <c r="AH5">
        <f>IFERROR(BDH(A5,"PX_LAST",WORKDAY(TODAY(),-2),WORKDAY(TODAY(),-2))+0,NA())</f>
        <v>0</v>
      </c>
      <c r="AI5">
        <f>IFERROR(BDH(A5,"PX_LAST",WORKDAY(TODAY(),-1),WORKDAY(TODAY(),-1))+0,NA())</f>
        <v>0</v>
      </c>
    </row>
    <row r="6" spans="1:35" ht="18" customHeight="1">
      <c r="A6">
        <f>IFERROR(INDEX(COR!$D:$D,MATCH(LARGE(COR!$G:$G,4),COR!$G:$G,0)),"")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IF(OR(J6="",H6=""),"",IF(AND(H6&lt;0,J6&gt;0),"BUY",IF(AND(H6&gt;0,J6&lt;0),"SELL","")))</f>
        <v>0</v>
      </c>
      <c r="N6">
        <f t="array" ref="N6">IFERROR(AVERAGE(IF(ISNUMBER(P6:AI6),P6:AI6)),"")</f>
        <v>0</v>
      </c>
      <c r="O6">
        <f t="array" ref="O6">IFERROR(STDEV(IF(ISNUMBER(P6:AI6),P6:AI6)),"")</f>
        <v>0</v>
      </c>
      <c r="P6">
        <f>IFERROR(BDH(A6,"PX_LAST",WORKDAY(TODAY(),-20),WORKDAY(TODAY(),-20))+0,NA())</f>
        <v>0</v>
      </c>
      <c r="Q6">
        <f>IFERROR(BDH(A6,"PX_LAST",WORKDAY(TODAY(),-19),WORKDAY(TODAY(),-19))+0,NA())</f>
        <v>0</v>
      </c>
      <c r="R6">
        <f>IFERROR(BDH(A6,"PX_LAST",WORKDAY(TODAY(),-18),WORKDAY(TODAY(),-18))+0,NA())</f>
        <v>0</v>
      </c>
      <c r="S6">
        <f>IFERROR(BDH(A6,"PX_LAST",WORKDAY(TODAY(),-17),WORKDAY(TODAY(),-17))+0,NA())</f>
        <v>0</v>
      </c>
      <c r="T6">
        <f>IFERROR(BDH(A6,"PX_LAST",WORKDAY(TODAY(),-16),WORKDAY(TODAY(),-16))+0,NA())</f>
        <v>0</v>
      </c>
      <c r="U6">
        <f>IFERROR(BDH(A6,"PX_LAST",WORKDAY(TODAY(),-15),WORKDAY(TODAY(),-15))+0,NA())</f>
        <v>0</v>
      </c>
      <c r="V6">
        <f>IFERROR(BDH(A6,"PX_LAST",WORKDAY(TODAY(),-14),WORKDAY(TODAY(),-14))+0,NA())</f>
        <v>0</v>
      </c>
      <c r="W6">
        <f>IFERROR(BDH(A6,"PX_LAST",WORKDAY(TODAY(),-13),WORKDAY(TODAY(),-13))+0,NA())</f>
        <v>0</v>
      </c>
      <c r="X6">
        <f>IFERROR(BDH(A6,"PX_LAST",WORKDAY(TODAY(),-12),WORKDAY(TODAY(),-12))+0,NA())</f>
        <v>0</v>
      </c>
      <c r="Y6">
        <f>IFERROR(BDH(A6,"PX_LAST",WORKDAY(TODAY(),-11),WORKDAY(TODAY(),-11))+0,NA())</f>
        <v>0</v>
      </c>
      <c r="Z6">
        <f>IFERROR(BDH(A6,"PX_LAST",WORKDAY(TODAY(),-10),WORKDAY(TODAY(),-10))+0,NA())</f>
        <v>0</v>
      </c>
      <c r="AA6">
        <f>IFERROR(BDH(A6,"PX_LAST",WORKDAY(TODAY(),-9),WORKDAY(TODAY(),-9))+0,NA())</f>
        <v>0</v>
      </c>
      <c r="AB6">
        <f>IFERROR(BDH(A6,"PX_LAST",WORKDAY(TODAY(),-8),WORKDAY(TODAY(),-8))+0,NA())</f>
        <v>0</v>
      </c>
      <c r="AC6">
        <f>IFERROR(BDH(A6,"PX_LAST",WORKDAY(TODAY(),-7),WORKDAY(TODAY(),-7))+0,NA())</f>
        <v>0</v>
      </c>
      <c r="AD6">
        <f>IFERROR(BDH(A6,"PX_LAST",WORKDAY(TODAY(),-6),WORKDAY(TODAY(),-6))+0,NA())</f>
        <v>0</v>
      </c>
      <c r="AE6">
        <f>IFERROR(BDH(A6,"PX_LAST",WORKDAY(TODAY(),-5),WORKDAY(TODAY(),-5))+0,NA())</f>
        <v>0</v>
      </c>
      <c r="AF6">
        <f>IFERROR(BDH(A6,"PX_LAST",WORKDAY(TODAY(),-4),WORKDAY(TODAY(),-4))+0,NA())</f>
        <v>0</v>
      </c>
      <c r="AG6">
        <f>IFERROR(BDH(A6,"PX_LAST",WORKDAY(TODAY(),-3),WORKDAY(TODAY(),-3))+0,NA())</f>
        <v>0</v>
      </c>
      <c r="AH6">
        <f>IFERROR(BDH(A6,"PX_LAST",WORKDAY(TODAY(),-2),WORKDAY(TODAY(),-2))+0,NA())</f>
        <v>0</v>
      </c>
      <c r="AI6">
        <f>IFERROR(BDH(A6,"PX_LAST",WORKDAY(TODAY(),-1),WORKDAY(TODAY(),-1))+0,NA())</f>
        <v>0</v>
      </c>
    </row>
    <row r="7" spans="1:35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IF(OR(J7="",H7=""),"",IF(AND(H7&lt;0,J7&gt;0),"BUY",IF(AND(H7&gt;0,J7&lt;0),"SELL","")))</f>
        <v>0</v>
      </c>
      <c r="N7">
        <f t="array" ref="N7">IFERROR(AVERAGE(IF(ISNUMBER(P7:AI7),P7:AI7)),"")</f>
        <v>0</v>
      </c>
      <c r="O7">
        <f t="array" ref="O7">IFERROR(STDEV(IF(ISNUMBER(P7:AI7),P7:AI7)),"")</f>
        <v>0</v>
      </c>
      <c r="P7">
        <f>IFERROR(BDH(A7,"PX_LAST",WORKDAY(TODAY(),-20),WORKDAY(TODAY(),-20))+0,NA())</f>
        <v>0</v>
      </c>
      <c r="Q7">
        <f>IFERROR(BDH(A7,"PX_LAST",WORKDAY(TODAY(),-19),WORKDAY(TODAY(),-19))+0,NA())</f>
        <v>0</v>
      </c>
      <c r="R7">
        <f>IFERROR(BDH(A7,"PX_LAST",WORKDAY(TODAY(),-18),WORKDAY(TODAY(),-18))+0,NA())</f>
        <v>0</v>
      </c>
      <c r="S7">
        <f>IFERROR(BDH(A7,"PX_LAST",WORKDAY(TODAY(),-17),WORKDAY(TODAY(),-17))+0,NA())</f>
        <v>0</v>
      </c>
      <c r="T7">
        <f>IFERROR(BDH(A7,"PX_LAST",WORKDAY(TODAY(),-16),WORKDAY(TODAY(),-16))+0,NA())</f>
        <v>0</v>
      </c>
      <c r="U7">
        <f>IFERROR(BDH(A7,"PX_LAST",WORKDAY(TODAY(),-15),WORKDAY(TODAY(),-15))+0,NA())</f>
        <v>0</v>
      </c>
      <c r="V7">
        <f>IFERROR(BDH(A7,"PX_LAST",WORKDAY(TODAY(),-14),WORKDAY(TODAY(),-14))+0,NA())</f>
        <v>0</v>
      </c>
      <c r="W7">
        <f>IFERROR(BDH(A7,"PX_LAST",WORKDAY(TODAY(),-13),WORKDAY(TODAY(),-13))+0,NA())</f>
        <v>0</v>
      </c>
      <c r="X7">
        <f>IFERROR(BDH(A7,"PX_LAST",WORKDAY(TODAY(),-12),WORKDAY(TODAY(),-12))+0,NA())</f>
        <v>0</v>
      </c>
      <c r="Y7">
        <f>IFERROR(BDH(A7,"PX_LAST",WORKDAY(TODAY(),-11),WORKDAY(TODAY(),-11))+0,NA())</f>
        <v>0</v>
      </c>
      <c r="Z7">
        <f>IFERROR(BDH(A7,"PX_LAST",WORKDAY(TODAY(),-10),WORKDAY(TODAY(),-10))+0,NA())</f>
        <v>0</v>
      </c>
      <c r="AA7">
        <f>IFERROR(BDH(A7,"PX_LAST",WORKDAY(TODAY(),-9),WORKDAY(TODAY(),-9))+0,NA())</f>
        <v>0</v>
      </c>
      <c r="AB7">
        <f>IFERROR(BDH(A7,"PX_LAST",WORKDAY(TODAY(),-8),WORKDAY(TODAY(),-8))+0,NA())</f>
        <v>0</v>
      </c>
      <c r="AC7">
        <f>IFERROR(BDH(A7,"PX_LAST",WORKDAY(TODAY(),-7),WORKDAY(TODAY(),-7))+0,NA())</f>
        <v>0</v>
      </c>
      <c r="AD7">
        <f>IFERROR(BDH(A7,"PX_LAST",WORKDAY(TODAY(),-6),WORKDAY(TODAY(),-6))+0,NA())</f>
        <v>0</v>
      </c>
      <c r="AE7">
        <f>IFERROR(BDH(A7,"PX_LAST",WORKDAY(TODAY(),-5),WORKDAY(TODAY(),-5))+0,NA())</f>
        <v>0</v>
      </c>
      <c r="AF7">
        <f>IFERROR(BDH(A7,"PX_LAST",WORKDAY(TODAY(),-4),WORKDAY(TODAY(),-4))+0,NA())</f>
        <v>0</v>
      </c>
      <c r="AG7">
        <f>IFERROR(BDH(A7,"PX_LAST",WORKDAY(TODAY(),-3),WORKDAY(TODAY(),-3))+0,NA())</f>
        <v>0</v>
      </c>
      <c r="AH7">
        <f>IFERROR(BDH(A7,"PX_LAST",WORKDAY(TODAY(),-2),WORKDAY(TODAY(),-2))+0,NA())</f>
        <v>0</v>
      </c>
      <c r="AI7">
        <f>IFERROR(BDH(A7,"PX_LAST",WORKDAY(TODAY(),-1),WORKDAY(TODAY(),-1))+0,NA())</f>
        <v>0</v>
      </c>
    </row>
    <row r="8" spans="1:35" ht="18" customHeight="1">
      <c r="A8">
        <f>IFERROR(INDEX(COR!$D:$D,MATCH(LARGE(COR!$G:$G,6),COR!$G:$G,0)),"")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IF(OR(J8="",H8=""),"",IF(AND(H8&lt;0,J8&gt;0),"BUY",IF(AND(H8&gt;0,J8&lt;0),"SELL","")))</f>
        <v>0</v>
      </c>
      <c r="N8">
        <f t="array" ref="N8">IFERROR(AVERAGE(IF(ISNUMBER(P8:AI8),P8:AI8)),"")</f>
        <v>0</v>
      </c>
      <c r="O8">
        <f t="array" ref="O8">IFERROR(STDEV(IF(ISNUMBER(P8:AI8),P8:AI8)),"")</f>
        <v>0</v>
      </c>
      <c r="P8">
        <f>IFERROR(BDH(A8,"PX_LAST",WORKDAY(TODAY(),-20),WORKDAY(TODAY(),-20))+0,NA())</f>
        <v>0</v>
      </c>
      <c r="Q8">
        <f>IFERROR(BDH(A8,"PX_LAST",WORKDAY(TODAY(),-19),WORKDAY(TODAY(),-19))+0,NA())</f>
        <v>0</v>
      </c>
      <c r="R8">
        <f>IFERROR(BDH(A8,"PX_LAST",WORKDAY(TODAY(),-18),WORKDAY(TODAY(),-18))+0,NA())</f>
        <v>0</v>
      </c>
      <c r="S8">
        <f>IFERROR(BDH(A8,"PX_LAST",WORKDAY(TODAY(),-17),WORKDAY(TODAY(),-17))+0,NA())</f>
        <v>0</v>
      </c>
      <c r="T8">
        <f>IFERROR(BDH(A8,"PX_LAST",WORKDAY(TODAY(),-16),WORKDAY(TODAY(),-16))+0,NA())</f>
        <v>0</v>
      </c>
      <c r="U8">
        <f>IFERROR(BDH(A8,"PX_LAST",WORKDAY(TODAY(),-15),WORKDAY(TODAY(),-15))+0,NA())</f>
        <v>0</v>
      </c>
      <c r="V8">
        <f>IFERROR(BDH(A8,"PX_LAST",WORKDAY(TODAY(),-14),WORKDAY(TODAY(),-14))+0,NA())</f>
        <v>0</v>
      </c>
      <c r="W8">
        <f>IFERROR(BDH(A8,"PX_LAST",WORKDAY(TODAY(),-13),WORKDAY(TODAY(),-13))+0,NA())</f>
        <v>0</v>
      </c>
      <c r="X8">
        <f>IFERROR(BDH(A8,"PX_LAST",WORKDAY(TODAY(),-12),WORKDAY(TODAY(),-12))+0,NA())</f>
        <v>0</v>
      </c>
      <c r="Y8">
        <f>IFERROR(BDH(A8,"PX_LAST",WORKDAY(TODAY(),-11),WORKDAY(TODAY(),-11))+0,NA())</f>
        <v>0</v>
      </c>
      <c r="Z8">
        <f>IFERROR(BDH(A8,"PX_LAST",WORKDAY(TODAY(),-10),WORKDAY(TODAY(),-10))+0,NA())</f>
        <v>0</v>
      </c>
      <c r="AA8">
        <f>IFERROR(BDH(A8,"PX_LAST",WORKDAY(TODAY(),-9),WORKDAY(TODAY(),-9))+0,NA())</f>
        <v>0</v>
      </c>
      <c r="AB8">
        <f>IFERROR(BDH(A8,"PX_LAST",WORKDAY(TODAY(),-8),WORKDAY(TODAY(),-8))+0,NA())</f>
        <v>0</v>
      </c>
      <c r="AC8">
        <f>IFERROR(BDH(A8,"PX_LAST",WORKDAY(TODAY(),-7),WORKDAY(TODAY(),-7))+0,NA())</f>
        <v>0</v>
      </c>
      <c r="AD8">
        <f>IFERROR(BDH(A8,"PX_LAST",WORKDAY(TODAY(),-6),WORKDAY(TODAY(),-6))+0,NA())</f>
        <v>0</v>
      </c>
      <c r="AE8">
        <f>IFERROR(BDH(A8,"PX_LAST",WORKDAY(TODAY(),-5),WORKDAY(TODAY(),-5))+0,NA())</f>
        <v>0</v>
      </c>
      <c r="AF8">
        <f>IFERROR(BDH(A8,"PX_LAST",WORKDAY(TODAY(),-4),WORKDAY(TODAY(),-4))+0,NA())</f>
        <v>0</v>
      </c>
      <c r="AG8">
        <f>IFERROR(BDH(A8,"PX_LAST",WORKDAY(TODAY(),-3),WORKDAY(TODAY(),-3))+0,NA())</f>
        <v>0</v>
      </c>
      <c r="AH8">
        <f>IFERROR(BDH(A8,"PX_LAST",WORKDAY(TODAY(),-2),WORKDAY(TODAY(),-2))+0,NA())</f>
        <v>0</v>
      </c>
      <c r="AI8">
        <f>IFERROR(BDH(A8,"PX_LAST",WORKDAY(TODAY(),-1),WORKDAY(TODAY(),-1))+0,NA())</f>
        <v>0</v>
      </c>
    </row>
    <row r="9" spans="1:35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IF(OR(J9="",H9=""),"",IF(AND(H9&lt;0,J9&gt;0),"BUY",IF(AND(H9&gt;0,J9&lt;0),"SELL","")))</f>
        <v>0</v>
      </c>
      <c r="N9">
        <f t="array" ref="N9">IFERROR(AVERAGE(IF(ISNUMBER(P9:AI9),P9:AI9)),"")</f>
        <v>0</v>
      </c>
      <c r="O9">
        <f t="array" ref="O9">IFERROR(STDEV(IF(ISNUMBER(P9:AI9),P9:AI9)),"")</f>
        <v>0</v>
      </c>
      <c r="P9">
        <f>IFERROR(BDH(A9,"PX_LAST",WORKDAY(TODAY(),-20),WORKDAY(TODAY(),-20))+0,NA())</f>
        <v>0</v>
      </c>
      <c r="Q9">
        <f>IFERROR(BDH(A9,"PX_LAST",WORKDAY(TODAY(),-19),WORKDAY(TODAY(),-19))+0,NA())</f>
        <v>0</v>
      </c>
      <c r="R9">
        <f>IFERROR(BDH(A9,"PX_LAST",WORKDAY(TODAY(),-18),WORKDAY(TODAY(),-18))+0,NA())</f>
        <v>0</v>
      </c>
      <c r="S9">
        <f>IFERROR(BDH(A9,"PX_LAST",WORKDAY(TODAY(),-17),WORKDAY(TODAY(),-17))+0,NA())</f>
        <v>0</v>
      </c>
      <c r="T9">
        <f>IFERROR(BDH(A9,"PX_LAST",WORKDAY(TODAY(),-16),WORKDAY(TODAY(),-16))+0,NA())</f>
        <v>0</v>
      </c>
      <c r="U9">
        <f>IFERROR(BDH(A9,"PX_LAST",WORKDAY(TODAY(),-15),WORKDAY(TODAY(),-15))+0,NA())</f>
        <v>0</v>
      </c>
      <c r="V9">
        <f>IFERROR(BDH(A9,"PX_LAST",WORKDAY(TODAY(),-14),WORKDAY(TODAY(),-14))+0,NA())</f>
        <v>0</v>
      </c>
      <c r="W9">
        <f>IFERROR(BDH(A9,"PX_LAST",WORKDAY(TODAY(),-13),WORKDAY(TODAY(),-13))+0,NA())</f>
        <v>0</v>
      </c>
      <c r="X9">
        <f>IFERROR(BDH(A9,"PX_LAST",WORKDAY(TODAY(),-12),WORKDAY(TODAY(),-12))+0,NA())</f>
        <v>0</v>
      </c>
      <c r="Y9">
        <f>IFERROR(BDH(A9,"PX_LAST",WORKDAY(TODAY(),-11),WORKDAY(TODAY(),-11))+0,NA())</f>
        <v>0</v>
      </c>
      <c r="Z9">
        <f>IFERROR(BDH(A9,"PX_LAST",WORKDAY(TODAY(),-10),WORKDAY(TODAY(),-10))+0,NA())</f>
        <v>0</v>
      </c>
      <c r="AA9">
        <f>IFERROR(BDH(A9,"PX_LAST",WORKDAY(TODAY(),-9),WORKDAY(TODAY(),-9))+0,NA())</f>
        <v>0</v>
      </c>
      <c r="AB9">
        <f>IFERROR(BDH(A9,"PX_LAST",WORKDAY(TODAY(),-8),WORKDAY(TODAY(),-8))+0,NA())</f>
        <v>0</v>
      </c>
      <c r="AC9">
        <f>IFERROR(BDH(A9,"PX_LAST",WORKDAY(TODAY(),-7),WORKDAY(TODAY(),-7))+0,NA())</f>
        <v>0</v>
      </c>
      <c r="AD9">
        <f>IFERROR(BDH(A9,"PX_LAST",WORKDAY(TODAY(),-6),WORKDAY(TODAY(),-6))+0,NA())</f>
        <v>0</v>
      </c>
      <c r="AE9">
        <f>IFERROR(BDH(A9,"PX_LAST",WORKDAY(TODAY(),-5),WORKDAY(TODAY(),-5))+0,NA())</f>
        <v>0</v>
      </c>
      <c r="AF9">
        <f>IFERROR(BDH(A9,"PX_LAST",WORKDAY(TODAY(),-4),WORKDAY(TODAY(),-4))+0,NA())</f>
        <v>0</v>
      </c>
      <c r="AG9">
        <f>IFERROR(BDH(A9,"PX_LAST",WORKDAY(TODAY(),-3),WORKDAY(TODAY(),-3))+0,NA())</f>
        <v>0</v>
      </c>
      <c r="AH9">
        <f>IFERROR(BDH(A9,"PX_LAST",WORKDAY(TODAY(),-2),WORKDAY(TODAY(),-2))+0,NA())</f>
        <v>0</v>
      </c>
      <c r="AI9">
        <f>IFERROR(BDH(A9,"PX_LAST",WORKDAY(TODAY(),-1),WORKDAY(TODAY(),-1))+0,NA())</f>
        <v>0</v>
      </c>
    </row>
    <row r="10" spans="1:35" ht="18" customHeight="1">
      <c r="A10">
        <f>IFERROR(INDEX(COR!$D:$D,MATCH(LARGE(COR!$G:$G,8),COR!$G:$G,0)),"")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IF(OR(J10="",H10=""),"",IF(AND(H10&lt;0,J10&gt;0),"BUY",IF(AND(H10&gt;0,J10&lt;0),"SELL","")))</f>
        <v>0</v>
      </c>
      <c r="N10">
        <f t="array" ref="N10">IFERROR(AVERAGE(IF(ISNUMBER(P10:AI10),P10:AI10)),"")</f>
        <v>0</v>
      </c>
      <c r="O10">
        <f t="array" ref="O10">IFERROR(STDEV(IF(ISNUMBER(P10:AI10),P10:AI10)),"")</f>
        <v>0</v>
      </c>
      <c r="P10">
        <f>IFERROR(BDH(A10,"PX_LAST",WORKDAY(TODAY(),-20),WORKDAY(TODAY(),-20))+0,NA())</f>
        <v>0</v>
      </c>
      <c r="Q10">
        <f>IFERROR(BDH(A10,"PX_LAST",WORKDAY(TODAY(),-19),WORKDAY(TODAY(),-19))+0,NA())</f>
        <v>0</v>
      </c>
      <c r="R10">
        <f>IFERROR(BDH(A10,"PX_LAST",WORKDAY(TODAY(),-18),WORKDAY(TODAY(),-18))+0,NA())</f>
        <v>0</v>
      </c>
      <c r="S10">
        <f>IFERROR(BDH(A10,"PX_LAST",WORKDAY(TODAY(),-17),WORKDAY(TODAY(),-17))+0,NA())</f>
        <v>0</v>
      </c>
      <c r="T10">
        <f>IFERROR(BDH(A10,"PX_LAST",WORKDAY(TODAY(),-16),WORKDAY(TODAY(),-16))+0,NA())</f>
        <v>0</v>
      </c>
      <c r="U10">
        <f>IFERROR(BDH(A10,"PX_LAST",WORKDAY(TODAY(),-15),WORKDAY(TODAY(),-15))+0,NA())</f>
        <v>0</v>
      </c>
      <c r="V10">
        <f>IFERROR(BDH(A10,"PX_LAST",WORKDAY(TODAY(),-14),WORKDAY(TODAY(),-14))+0,NA())</f>
        <v>0</v>
      </c>
      <c r="W10">
        <f>IFERROR(BDH(A10,"PX_LAST",WORKDAY(TODAY(),-13),WORKDAY(TODAY(),-13))+0,NA())</f>
        <v>0</v>
      </c>
      <c r="X10">
        <f>IFERROR(BDH(A10,"PX_LAST",WORKDAY(TODAY(),-12),WORKDAY(TODAY(),-12))+0,NA())</f>
        <v>0</v>
      </c>
      <c r="Y10">
        <f>IFERROR(BDH(A10,"PX_LAST",WORKDAY(TODAY(),-11),WORKDAY(TODAY(),-11))+0,NA())</f>
        <v>0</v>
      </c>
      <c r="Z10">
        <f>IFERROR(BDH(A10,"PX_LAST",WORKDAY(TODAY(),-10),WORKDAY(TODAY(),-10))+0,NA())</f>
        <v>0</v>
      </c>
      <c r="AA10">
        <f>IFERROR(BDH(A10,"PX_LAST",WORKDAY(TODAY(),-9),WORKDAY(TODAY(),-9))+0,NA())</f>
        <v>0</v>
      </c>
      <c r="AB10">
        <f>IFERROR(BDH(A10,"PX_LAST",WORKDAY(TODAY(),-8),WORKDAY(TODAY(),-8))+0,NA())</f>
        <v>0</v>
      </c>
      <c r="AC10">
        <f>IFERROR(BDH(A10,"PX_LAST",WORKDAY(TODAY(),-7),WORKDAY(TODAY(),-7))+0,NA())</f>
        <v>0</v>
      </c>
      <c r="AD10">
        <f>IFERROR(BDH(A10,"PX_LAST",WORKDAY(TODAY(),-6),WORKDAY(TODAY(),-6))+0,NA())</f>
        <v>0</v>
      </c>
      <c r="AE10">
        <f>IFERROR(BDH(A10,"PX_LAST",WORKDAY(TODAY(),-5),WORKDAY(TODAY(),-5))+0,NA())</f>
        <v>0</v>
      </c>
      <c r="AF10">
        <f>IFERROR(BDH(A10,"PX_LAST",WORKDAY(TODAY(),-4),WORKDAY(TODAY(),-4))+0,NA())</f>
        <v>0</v>
      </c>
      <c r="AG10">
        <f>IFERROR(BDH(A10,"PX_LAST",WORKDAY(TODAY(),-3),WORKDAY(TODAY(),-3))+0,NA())</f>
        <v>0</v>
      </c>
      <c r="AH10">
        <f>IFERROR(BDH(A10,"PX_LAST",WORKDAY(TODAY(),-2),WORKDAY(TODAY(),-2))+0,NA())</f>
        <v>0</v>
      </c>
      <c r="AI10">
        <f>IFERROR(BDH(A10,"PX_LAST",WORKDAY(TODAY(),-1),WORKDAY(TODAY(),-1))+0,NA())</f>
        <v>0</v>
      </c>
    </row>
    <row r="11" spans="1:35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IF(OR(J11="",H11=""),"",IF(AND(H11&lt;0,J11&gt;0),"BUY",IF(AND(H11&gt;0,J11&lt;0),"SELL","")))</f>
        <v>0</v>
      </c>
      <c r="N11">
        <f t="array" ref="N11">IFERROR(AVERAGE(IF(ISNUMBER(P11:AI11),P11:AI11)),"")</f>
        <v>0</v>
      </c>
      <c r="O11">
        <f t="array" ref="O11">IFERROR(STDEV(IF(ISNUMBER(P11:AI11),P11:AI11)),"")</f>
        <v>0</v>
      </c>
      <c r="P11">
        <f>IFERROR(BDH(A11,"PX_LAST",WORKDAY(TODAY(),-20),WORKDAY(TODAY(),-20))+0,NA())</f>
        <v>0</v>
      </c>
      <c r="Q11">
        <f>IFERROR(BDH(A11,"PX_LAST",WORKDAY(TODAY(),-19),WORKDAY(TODAY(),-19))+0,NA())</f>
        <v>0</v>
      </c>
      <c r="R11">
        <f>IFERROR(BDH(A11,"PX_LAST",WORKDAY(TODAY(),-18),WORKDAY(TODAY(),-18))+0,NA())</f>
        <v>0</v>
      </c>
      <c r="S11">
        <f>IFERROR(BDH(A11,"PX_LAST",WORKDAY(TODAY(),-17),WORKDAY(TODAY(),-17))+0,NA())</f>
        <v>0</v>
      </c>
      <c r="T11">
        <f>IFERROR(BDH(A11,"PX_LAST",WORKDAY(TODAY(),-16),WORKDAY(TODAY(),-16))+0,NA())</f>
        <v>0</v>
      </c>
      <c r="U11">
        <f>IFERROR(BDH(A11,"PX_LAST",WORKDAY(TODAY(),-15),WORKDAY(TODAY(),-15))+0,NA())</f>
        <v>0</v>
      </c>
      <c r="V11">
        <f>IFERROR(BDH(A11,"PX_LAST",WORKDAY(TODAY(),-14),WORKDAY(TODAY(),-14))+0,NA())</f>
        <v>0</v>
      </c>
      <c r="W11">
        <f>IFERROR(BDH(A11,"PX_LAST",WORKDAY(TODAY(),-13),WORKDAY(TODAY(),-13))+0,NA())</f>
        <v>0</v>
      </c>
      <c r="X11">
        <f>IFERROR(BDH(A11,"PX_LAST",WORKDAY(TODAY(),-12),WORKDAY(TODAY(),-12))+0,NA())</f>
        <v>0</v>
      </c>
      <c r="Y11">
        <f>IFERROR(BDH(A11,"PX_LAST",WORKDAY(TODAY(),-11),WORKDAY(TODAY(),-11))+0,NA())</f>
        <v>0</v>
      </c>
      <c r="Z11">
        <f>IFERROR(BDH(A11,"PX_LAST",WORKDAY(TODAY(),-10),WORKDAY(TODAY(),-10))+0,NA())</f>
        <v>0</v>
      </c>
      <c r="AA11">
        <f>IFERROR(BDH(A11,"PX_LAST",WORKDAY(TODAY(),-9),WORKDAY(TODAY(),-9))+0,NA())</f>
        <v>0</v>
      </c>
      <c r="AB11">
        <f>IFERROR(BDH(A11,"PX_LAST",WORKDAY(TODAY(),-8),WORKDAY(TODAY(),-8))+0,NA())</f>
        <v>0</v>
      </c>
      <c r="AC11">
        <f>IFERROR(BDH(A11,"PX_LAST",WORKDAY(TODAY(),-7),WORKDAY(TODAY(),-7))+0,NA())</f>
        <v>0</v>
      </c>
      <c r="AD11">
        <f>IFERROR(BDH(A11,"PX_LAST",WORKDAY(TODAY(),-6),WORKDAY(TODAY(),-6))+0,NA())</f>
        <v>0</v>
      </c>
      <c r="AE11">
        <f>IFERROR(BDH(A11,"PX_LAST",WORKDAY(TODAY(),-5),WORKDAY(TODAY(),-5))+0,NA())</f>
        <v>0</v>
      </c>
      <c r="AF11">
        <f>IFERROR(BDH(A11,"PX_LAST",WORKDAY(TODAY(),-4),WORKDAY(TODAY(),-4))+0,NA())</f>
        <v>0</v>
      </c>
      <c r="AG11">
        <f>IFERROR(BDH(A11,"PX_LAST",WORKDAY(TODAY(),-3),WORKDAY(TODAY(),-3))+0,NA())</f>
        <v>0</v>
      </c>
      <c r="AH11">
        <f>IFERROR(BDH(A11,"PX_LAST",WORKDAY(TODAY(),-2),WORKDAY(TODAY(),-2))+0,NA())</f>
        <v>0</v>
      </c>
      <c r="AI11">
        <f>IFERROR(BDH(A11,"PX_LAST",WORKDAY(TODAY(),-1),WORKDAY(TODAY(),-1))+0,NA())</f>
        <v>0</v>
      </c>
    </row>
    <row r="12" spans="1:35" ht="18" customHeight="1">
      <c r="A12">
        <f>IFERROR(INDEX(COR!$D:$D,MATCH(LARGE(COR!$G:$G,10),COR!$G:$G,0)),"")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IF(OR(J12="",H12=""),"",IF(AND(H12&lt;0,J12&gt;0),"BUY",IF(AND(H12&gt;0,J12&lt;0),"SELL","")))</f>
        <v>0</v>
      </c>
      <c r="N12">
        <f t="array" ref="N12">IFERROR(AVERAGE(IF(ISNUMBER(P12:AI12),P12:AI12)),"")</f>
        <v>0</v>
      </c>
      <c r="O12">
        <f t="array" ref="O12">IFERROR(STDEV(IF(ISNUMBER(P12:AI12),P12:AI12)),"")</f>
        <v>0</v>
      </c>
      <c r="P12">
        <f>IFERROR(BDH(A12,"PX_LAST",WORKDAY(TODAY(),-20),WORKDAY(TODAY(),-20))+0,NA())</f>
        <v>0</v>
      </c>
      <c r="Q12">
        <f>IFERROR(BDH(A12,"PX_LAST",WORKDAY(TODAY(),-19),WORKDAY(TODAY(),-19))+0,NA())</f>
        <v>0</v>
      </c>
      <c r="R12">
        <f>IFERROR(BDH(A12,"PX_LAST",WORKDAY(TODAY(),-18),WORKDAY(TODAY(),-18))+0,NA())</f>
        <v>0</v>
      </c>
      <c r="S12">
        <f>IFERROR(BDH(A12,"PX_LAST",WORKDAY(TODAY(),-17),WORKDAY(TODAY(),-17))+0,NA())</f>
        <v>0</v>
      </c>
      <c r="T12">
        <f>IFERROR(BDH(A12,"PX_LAST",WORKDAY(TODAY(),-16),WORKDAY(TODAY(),-16))+0,NA())</f>
        <v>0</v>
      </c>
      <c r="U12">
        <f>IFERROR(BDH(A12,"PX_LAST",WORKDAY(TODAY(),-15),WORKDAY(TODAY(),-15))+0,NA())</f>
        <v>0</v>
      </c>
      <c r="V12">
        <f>IFERROR(BDH(A12,"PX_LAST",WORKDAY(TODAY(),-14),WORKDAY(TODAY(),-14))+0,NA())</f>
        <v>0</v>
      </c>
      <c r="W12">
        <f>IFERROR(BDH(A12,"PX_LAST",WORKDAY(TODAY(),-13),WORKDAY(TODAY(),-13))+0,NA())</f>
        <v>0</v>
      </c>
      <c r="X12">
        <f>IFERROR(BDH(A12,"PX_LAST",WORKDAY(TODAY(),-12),WORKDAY(TODAY(),-12))+0,NA())</f>
        <v>0</v>
      </c>
      <c r="Y12">
        <f>IFERROR(BDH(A12,"PX_LAST",WORKDAY(TODAY(),-11),WORKDAY(TODAY(),-11))+0,NA())</f>
        <v>0</v>
      </c>
      <c r="Z12">
        <f>IFERROR(BDH(A12,"PX_LAST",WORKDAY(TODAY(),-10),WORKDAY(TODAY(),-10))+0,NA())</f>
        <v>0</v>
      </c>
      <c r="AA12">
        <f>IFERROR(BDH(A12,"PX_LAST",WORKDAY(TODAY(),-9),WORKDAY(TODAY(),-9))+0,NA())</f>
        <v>0</v>
      </c>
      <c r="AB12">
        <f>IFERROR(BDH(A12,"PX_LAST",WORKDAY(TODAY(),-8),WORKDAY(TODAY(),-8))+0,NA())</f>
        <v>0</v>
      </c>
      <c r="AC12">
        <f>IFERROR(BDH(A12,"PX_LAST",WORKDAY(TODAY(),-7),WORKDAY(TODAY(),-7))+0,NA())</f>
        <v>0</v>
      </c>
      <c r="AD12">
        <f>IFERROR(BDH(A12,"PX_LAST",WORKDAY(TODAY(),-6),WORKDAY(TODAY(),-6))+0,NA())</f>
        <v>0</v>
      </c>
      <c r="AE12">
        <f>IFERROR(BDH(A12,"PX_LAST",WORKDAY(TODAY(),-5),WORKDAY(TODAY(),-5))+0,NA())</f>
        <v>0</v>
      </c>
      <c r="AF12">
        <f>IFERROR(BDH(A12,"PX_LAST",WORKDAY(TODAY(),-4),WORKDAY(TODAY(),-4))+0,NA())</f>
        <v>0</v>
      </c>
      <c r="AG12">
        <f>IFERROR(BDH(A12,"PX_LAST",WORKDAY(TODAY(),-3),WORKDAY(TODAY(),-3))+0,NA())</f>
        <v>0</v>
      </c>
      <c r="AH12">
        <f>IFERROR(BDH(A12,"PX_LAST",WORKDAY(TODAY(),-2),WORKDAY(TODAY(),-2))+0,NA())</f>
        <v>0</v>
      </c>
      <c r="AI12">
        <f>IFERROR(BDH(A12,"PX_LAST",WORKDAY(TODAY(),-1),WORKDAY(TODAY(),-1))+0,NA())</f>
        <v>0</v>
      </c>
    </row>
    <row r="14" spans="1:35">
      <c r="B14" s="29" t="s">
        <v>1568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Top10'!P12:AI12</xm:f>
              <xm:sqref>I12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Top10'!P11:AI11</xm:f>
              <xm:sqref>I11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Top10'!P10:AI10</xm:f>
              <xm:sqref>I10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Top10'!P9:AI9</xm:f>
              <xm:sqref>I9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Top10'!P8:AI8</xm:f>
              <xm:sqref>I8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Top10'!P7:AI7</xm:f>
              <xm:sqref>I7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Top10'!P6:AI6</xm:f>
              <xm:sqref>I6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Top10'!P5:AI5</xm:f>
              <xm:sqref>I5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Top10'!P4:AI4</xm:f>
              <xm:sqref>I4</xm:sqref>
            </x14:sparkline>
          </x14:sparklines>
        </x14:sparklineGroup>
        <x14:sparklineGroup lineWeight="1.5" displayEmptyCellsAs="span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Top10'!P3:AI3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8" t="s">
        <v>1569</v>
      </c>
    </row>
    <row r="2" spans="2:2">
      <c r="B2" s="39"/>
    </row>
    <row r="3" spans="2:2" ht="16" customHeight="1">
      <c r="B3" s="40" t="s">
        <v>1570</v>
      </c>
    </row>
    <row r="4" spans="2:2">
      <c r="B4" s="39" t="s">
        <v>1571</v>
      </c>
    </row>
    <row r="5" spans="2:2">
      <c r="B5" s="39" t="s">
        <v>1572</v>
      </c>
    </row>
    <row r="6" spans="2:2">
      <c r="B6" s="39" t="s">
        <v>1573</v>
      </c>
    </row>
    <row r="7" spans="2:2">
      <c r="B7" s="39" t="s">
        <v>1574</v>
      </c>
    </row>
    <row r="8" spans="2:2">
      <c r="B8" s="39" t="s">
        <v>1575</v>
      </c>
    </row>
    <row r="9" spans="2:2">
      <c r="B9" s="39"/>
    </row>
    <row r="10" spans="2:2" ht="16" customHeight="1">
      <c r="B10" s="40" t="s">
        <v>1576</v>
      </c>
    </row>
    <row r="11" spans="2:2">
      <c r="B11" s="39" t="s">
        <v>1577</v>
      </c>
    </row>
    <row r="12" spans="2:2">
      <c r="B12" s="39" t="s">
        <v>1578</v>
      </c>
    </row>
    <row r="13" spans="2:2">
      <c r="B13" s="39" t="s">
        <v>1579</v>
      </c>
    </row>
    <row r="14" spans="2:2">
      <c r="B14" s="39" t="s">
        <v>1580</v>
      </c>
    </row>
    <row r="15" spans="2:2">
      <c r="B15" s="39" t="s">
        <v>1581</v>
      </c>
    </row>
    <row r="16" spans="2:2">
      <c r="B16" s="39" t="s">
        <v>1582</v>
      </c>
    </row>
    <row r="17" spans="2:2">
      <c r="B17" s="39" t="s">
        <v>1583</v>
      </c>
    </row>
    <row r="18" spans="2:2">
      <c r="B18" s="39" t="s">
        <v>1584</v>
      </c>
    </row>
    <row r="19" spans="2:2">
      <c r="B19" s="39" t="s">
        <v>1585</v>
      </c>
    </row>
    <row r="20" spans="2:2">
      <c r="B20" s="39" t="s">
        <v>1586</v>
      </c>
    </row>
    <row r="21" spans="2:2">
      <c r="B21" s="39" t="s">
        <v>1587</v>
      </c>
    </row>
    <row r="22" spans="2:2">
      <c r="B22" s="39"/>
    </row>
    <row r="23" spans="2:2" ht="16" customHeight="1">
      <c r="B23" s="40" t="s">
        <v>1588</v>
      </c>
    </row>
    <row r="24" spans="2:2">
      <c r="B24" s="39" t="s">
        <v>1589</v>
      </c>
    </row>
    <row r="25" spans="2:2">
      <c r="B25" s="39" t="s">
        <v>1590</v>
      </c>
    </row>
    <row r="26" spans="2:2">
      <c r="B26" s="39" t="s">
        <v>1591</v>
      </c>
    </row>
    <row r="27" spans="2:2">
      <c r="B27" s="39" t="s">
        <v>1592</v>
      </c>
    </row>
    <row r="28" spans="2:2">
      <c r="B28" s="39" t="s">
        <v>1593</v>
      </c>
    </row>
    <row r="29" spans="2:2">
      <c r="B29" s="39" t="s">
        <v>1594</v>
      </c>
    </row>
    <row r="30" spans="2:2">
      <c r="B30" s="39"/>
    </row>
    <row r="31" spans="2:2" ht="16" customHeight="1">
      <c r="B31" s="40" t="s">
        <v>1595</v>
      </c>
    </row>
    <row r="32" spans="2:2">
      <c r="B32" s="39" t="s">
        <v>1596</v>
      </c>
    </row>
    <row r="33" spans="2:2">
      <c r="B33" s="39" t="s">
        <v>1597</v>
      </c>
    </row>
    <row r="34" spans="2:2">
      <c r="B34" s="39" t="s">
        <v>1598</v>
      </c>
    </row>
    <row r="35" spans="2:2">
      <c r="B35" s="39" t="s">
        <v>1599</v>
      </c>
    </row>
    <row r="36" spans="2:2">
      <c r="B36" s="39" t="s">
        <v>1600</v>
      </c>
    </row>
    <row r="37" spans="2:2">
      <c r="B37" s="39" t="s">
        <v>1601</v>
      </c>
    </row>
    <row r="38" spans="2:2">
      <c r="B38" s="39"/>
    </row>
    <row r="39" spans="2:2">
      <c r="B39" s="39" t="s">
        <v>1602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Top10</vt:lpstr>
      <vt:lpstr>SFI</vt:lpstr>
      <vt:lpstr>SFI Top10</vt:lpstr>
      <vt:lpstr>ER</vt:lpstr>
      <vt:lpstr>ER Top10</vt:lpstr>
      <vt:lpstr>IR</vt:lpstr>
      <vt:lpstr>IR Top10</vt:lpstr>
      <vt:lpstr>COR</vt:lpstr>
      <vt:lpstr>COR Top10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2026-04-21T14:01:52Z</dcterms:created>
  <dcterms:modified xsi:type="dcterms:W3CDTF">2026-04-21T14:01:52Z</dcterms:modified>
</cp:coreProperties>
</file>